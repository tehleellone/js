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eebvqq\Documents\Document\documentsssss\"/>
    </mc:Choice>
  </mc:AlternateContent>
  <xr:revisionPtr revIDLastSave="0" documentId="8_{23B7102E-BA77-40ED-9710-FA37F1E10AF2}" xr6:coauthVersionLast="47" xr6:coauthVersionMax="47" xr10:uidLastSave="{00000000-0000-0000-0000-000000000000}"/>
  <bookViews>
    <workbookView xWindow="-108" yWindow="-108" windowWidth="23256" windowHeight="12456" xr2:uid="{41DE64C7-1636-4C9E-8138-6F282716B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" i="1" l="1"/>
  <c r="L35" i="1"/>
  <c r="P30" i="1" s="1"/>
  <c r="L34" i="1"/>
  <c r="L33" i="1"/>
  <c r="L32" i="1"/>
  <c r="P31" i="1"/>
  <c r="L31" i="1"/>
  <c r="L30" i="1"/>
  <c r="P29" i="1"/>
  <c r="L29" i="1"/>
  <c r="H23" i="1"/>
  <c r="H22" i="1"/>
  <c r="H21" i="1"/>
  <c r="H20" i="1"/>
  <c r="P19" i="1"/>
  <c r="H19" i="1"/>
  <c r="P18" i="1"/>
  <c r="H18" i="1"/>
  <c r="H17" i="1"/>
  <c r="P17" i="1" s="1"/>
  <c r="H16" i="1"/>
  <c r="L11" i="1"/>
  <c r="L10" i="1"/>
  <c r="L9" i="1"/>
  <c r="P5" i="1" s="1"/>
  <c r="L8" i="1"/>
  <c r="P4" i="1" s="1"/>
  <c r="L7" i="1"/>
  <c r="L6" i="1"/>
  <c r="P6" i="1" s="1"/>
  <c r="L5" i="1"/>
  <c r="L4" i="1"/>
</calcChain>
</file>

<file path=xl/sharedStrings.xml><?xml version="1.0" encoding="utf-8"?>
<sst xmlns="http://schemas.openxmlformats.org/spreadsheetml/2006/main" count="87" uniqueCount="34">
  <si>
    <t>Fixed Net MRC</t>
  </si>
  <si>
    <t>Actual</t>
  </si>
  <si>
    <t>Jan</t>
  </si>
  <si>
    <t>Feb</t>
  </si>
  <si>
    <t>Mar</t>
  </si>
  <si>
    <t>Apr</t>
  </si>
  <si>
    <t>May</t>
  </si>
  <si>
    <t>Jun</t>
  </si>
  <si>
    <t>July</t>
  </si>
  <si>
    <t>Aug</t>
  </si>
  <si>
    <t>Total</t>
  </si>
  <si>
    <t>Actuals</t>
  </si>
  <si>
    <t>Overall</t>
  </si>
  <si>
    <t>F-NE, AUH, Hunt</t>
  </si>
  <si>
    <t>AUH</t>
  </si>
  <si>
    <t>Key A, Key B &amp; LE</t>
  </si>
  <si>
    <t>DXB</t>
  </si>
  <si>
    <t>F-NE</t>
  </si>
  <si>
    <t>HUNT</t>
  </si>
  <si>
    <t>KEY-A</t>
  </si>
  <si>
    <t>KEY-B</t>
  </si>
  <si>
    <t>LE</t>
  </si>
  <si>
    <t>Target</t>
  </si>
  <si>
    <t>Q1'2026</t>
  </si>
  <si>
    <t>May &amp; June</t>
  </si>
  <si>
    <t>Q3</t>
  </si>
  <si>
    <t>Net Add Lines</t>
  </si>
  <si>
    <t xml:space="preserve">       2,505 </t>
  </si>
  <si>
    <t xml:space="preserve">       2,132 </t>
  </si>
  <si>
    <t xml:space="preserve">       5,573 </t>
  </si>
  <si>
    <t xml:space="preserve">          755 </t>
  </si>
  <si>
    <t xml:space="preserve">       1,025 </t>
  </si>
  <si>
    <t xml:space="preserve">       2,533 </t>
  </si>
  <si>
    <t xml:space="preserve">       2,597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</si>
</sst>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0"/>
      <name val="Century Gothic"/>
      <family val="2"/>
    </font>
    <font>
      <b/>
      <sz val="11"/>
      <color theme="6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ck">
        <color theme="7"/>
      </left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/>
      <top/>
      <bottom/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 style="thin">
        <color theme="7" tint="0.79998168889431442"/>
      </right>
      <top style="thin">
        <color theme="6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n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/>
      <right style="medium">
        <color rgb="FFE0EAEF"/>
      </right>
      <top/>
      <bottom style="medium">
        <color rgb="FFE0EAEF"/>
      </bottom>
      <diagonal/>
    </border>
    <border>
      <left/>
      <right style="medium">
        <color rgb="FFE0EAEF"/>
      </right>
      <top/>
      <bottom style="thick">
        <color rgb="FF6997A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top"/>
    </xf>
    <xf numFmtId="164" fontId="5" fillId="4" borderId="9" xfId="1" applyNumberFormat="1" applyFont="1" applyFill="1" applyBorder="1" applyAlignment="1">
      <alignment horizontal="center" vertical="top"/>
    </xf>
    <xf numFmtId="164" fontId="5" fillId="4" borderId="10" xfId="1" applyNumberFormat="1" applyFont="1" applyFill="1" applyBorder="1" applyAlignment="1">
      <alignment horizontal="center" vertical="top"/>
    </xf>
    <xf numFmtId="164" fontId="0" fillId="0" borderId="0" xfId="0" applyNumberFormat="1"/>
    <xf numFmtId="0" fontId="6" fillId="5" borderId="11" xfId="0" applyFont="1" applyFill="1" applyBorder="1" applyAlignment="1">
      <alignment horizontal="center" vertical="center"/>
    </xf>
    <xf numFmtId="164" fontId="7" fillId="0" borderId="12" xfId="1" applyNumberFormat="1" applyFont="1" applyFill="1" applyBorder="1" applyAlignment="1">
      <alignment horizontal="center" vertical="top"/>
    </xf>
    <xf numFmtId="164" fontId="7" fillId="0" borderId="3" xfId="1" applyNumberFormat="1" applyFont="1" applyFill="1" applyBorder="1" applyAlignment="1">
      <alignment horizontal="center" vertical="top"/>
    </xf>
    <xf numFmtId="164" fontId="7" fillId="0" borderId="13" xfId="1" applyNumberFormat="1" applyFont="1" applyFill="1" applyBorder="1" applyAlignment="1">
      <alignment horizontal="center" vertical="top"/>
    </xf>
    <xf numFmtId="0" fontId="6" fillId="5" borderId="14" xfId="0" applyFont="1" applyFill="1" applyBorder="1" applyAlignment="1">
      <alignment horizontal="center" vertical="center"/>
    </xf>
    <xf numFmtId="164" fontId="7" fillId="0" borderId="15" xfId="1" applyNumberFormat="1" applyFont="1" applyFill="1" applyBorder="1" applyAlignment="1">
      <alignment horizontal="center" vertical="top"/>
    </xf>
    <xf numFmtId="164" fontId="7" fillId="0" borderId="16" xfId="1" applyNumberFormat="1" applyFont="1" applyFill="1" applyBorder="1" applyAlignment="1">
      <alignment horizontal="center" vertical="top"/>
    </xf>
    <xf numFmtId="164" fontId="7" fillId="0" borderId="17" xfId="1" applyNumberFormat="1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4" borderId="19" xfId="1" applyNumberFormat="1" applyFont="1" applyFill="1" applyBorder="1" applyAlignment="1">
      <alignment horizontal="center" vertical="top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337B-1248-410F-A39E-A5F1181F504F}">
  <dimension ref="C2:P49"/>
  <sheetViews>
    <sheetView tabSelected="1" workbookViewId="0">
      <selection activeCell="M47" sqref="M47"/>
    </sheetView>
  </sheetViews>
  <sheetFormatPr defaultRowHeight="14.4" x14ac:dyDescent="0.3"/>
  <cols>
    <col min="3" max="3" width="15.109375" bestFit="1" customWidth="1"/>
    <col min="4" max="5" width="12" bestFit="1" customWidth="1"/>
    <col min="6" max="6" width="13" bestFit="1" customWidth="1"/>
    <col min="7" max="7" width="12" bestFit="1" customWidth="1"/>
    <col min="8" max="8" width="12.88671875" bestFit="1" customWidth="1"/>
    <col min="9" max="11" width="12" bestFit="1" customWidth="1"/>
    <col min="12" max="12" width="12.88671875" bestFit="1" customWidth="1"/>
    <col min="13" max="13" width="11.44140625" bestFit="1" customWidth="1"/>
    <col min="14" max="14" width="12.44140625" bestFit="1" customWidth="1"/>
    <col min="15" max="15" width="18.44140625" bestFit="1" customWidth="1"/>
    <col min="16" max="16" width="12.88671875" bestFit="1" customWidth="1"/>
  </cols>
  <sheetData>
    <row r="2" spans="3:16" x14ac:dyDescent="0.3">
      <c r="C2" s="1" t="s">
        <v>0</v>
      </c>
      <c r="D2" s="2" t="s">
        <v>1</v>
      </c>
      <c r="E2" s="3"/>
      <c r="F2" s="3"/>
      <c r="G2" s="3"/>
      <c r="H2" s="3"/>
      <c r="I2" s="3"/>
      <c r="J2" s="3"/>
      <c r="K2" s="4"/>
    </row>
    <row r="3" spans="3:16" x14ac:dyDescent="0.3">
      <c r="D3" s="5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8" t="s">
        <v>10</v>
      </c>
      <c r="O3" t="s">
        <v>11</v>
      </c>
    </row>
    <row r="4" spans="3:16" x14ac:dyDescent="0.3">
      <c r="C4" s="9" t="s">
        <v>12</v>
      </c>
      <c r="D4" s="10">
        <v>2700518.3</v>
      </c>
      <c r="E4" s="11">
        <v>3065595.4800000004</v>
      </c>
      <c r="F4" s="11">
        <v>820152.9600000002</v>
      </c>
      <c r="G4" s="10">
        <v>2363395.5000000005</v>
      </c>
      <c r="H4" s="10">
        <v>3263065.84</v>
      </c>
      <c r="I4" s="11">
        <v>1669362.2999999998</v>
      </c>
      <c r="J4" s="10">
        <v>2318321.2200000002</v>
      </c>
      <c r="K4" s="11">
        <v>1192684.46</v>
      </c>
      <c r="L4" s="12">
        <f>SUM(D4:K4)</f>
        <v>17393096.059999999</v>
      </c>
      <c r="O4" t="s">
        <v>13</v>
      </c>
      <c r="P4" s="12">
        <f>L5+L7+L8</f>
        <v>2410094.3000000003</v>
      </c>
    </row>
    <row r="5" spans="3:16" x14ac:dyDescent="0.3">
      <c r="C5" s="13" t="s">
        <v>14</v>
      </c>
      <c r="D5" s="14">
        <v>-432186.2</v>
      </c>
      <c r="E5" s="15">
        <v>3088.4000000000233</v>
      </c>
      <c r="F5" s="16">
        <v>317345.68</v>
      </c>
      <c r="G5" s="14">
        <v>178952.52000000002</v>
      </c>
      <c r="H5" s="14">
        <v>331068.2</v>
      </c>
      <c r="I5" s="15">
        <v>71760.599999999977</v>
      </c>
      <c r="J5" s="14">
        <v>-150513.5</v>
      </c>
      <c r="K5" s="15">
        <v>18453</v>
      </c>
      <c r="L5" s="12">
        <f>SUM(D5:K5)</f>
        <v>337968.7</v>
      </c>
      <c r="O5" t="s">
        <v>15</v>
      </c>
      <c r="P5" s="12">
        <f>L9+L10+L11</f>
        <v>13296446.940000001</v>
      </c>
    </row>
    <row r="6" spans="3:16" x14ac:dyDescent="0.3">
      <c r="C6" s="13" t="s">
        <v>16</v>
      </c>
      <c r="D6" s="14">
        <v>426726.3</v>
      </c>
      <c r="E6" s="15">
        <v>594057.30000000005</v>
      </c>
      <c r="F6" s="16">
        <v>-244989.87999999995</v>
      </c>
      <c r="G6" s="14">
        <v>246219.2</v>
      </c>
      <c r="H6" s="14">
        <v>251207.4</v>
      </c>
      <c r="I6" s="15">
        <v>95938</v>
      </c>
      <c r="J6" s="14">
        <v>290156.5</v>
      </c>
      <c r="K6" s="15">
        <v>27240</v>
      </c>
      <c r="L6" s="12">
        <f>SUM(D6:K6)</f>
        <v>1686554.82</v>
      </c>
      <c r="O6" t="s">
        <v>16</v>
      </c>
      <c r="P6" s="12">
        <f>L6</f>
        <v>1686554.82</v>
      </c>
    </row>
    <row r="7" spans="3:16" x14ac:dyDescent="0.3">
      <c r="C7" s="13" t="s">
        <v>17</v>
      </c>
      <c r="D7" s="14">
        <v>162469.4</v>
      </c>
      <c r="E7" s="15">
        <v>-5283</v>
      </c>
      <c r="F7" s="16">
        <v>264630</v>
      </c>
      <c r="G7" s="14">
        <v>174455.5</v>
      </c>
      <c r="H7" s="14">
        <v>238072.2</v>
      </c>
      <c r="I7" s="15">
        <v>263950</v>
      </c>
      <c r="J7" s="14">
        <v>301871.5</v>
      </c>
      <c r="K7" s="15">
        <v>609342</v>
      </c>
      <c r="L7" s="12">
        <f>SUM(D7:K7)</f>
        <v>2009507.6</v>
      </c>
    </row>
    <row r="8" spans="3:16" x14ac:dyDescent="0.3">
      <c r="C8" s="13" t="s">
        <v>18</v>
      </c>
      <c r="D8" s="14">
        <v>37394</v>
      </c>
      <c r="E8" s="15">
        <v>20746</v>
      </c>
      <c r="F8" s="16">
        <v>73815</v>
      </c>
      <c r="G8" s="14">
        <v>-89389</v>
      </c>
      <c r="H8" s="14">
        <v>320</v>
      </c>
      <c r="I8" s="15">
        <v>23622</v>
      </c>
      <c r="J8" s="14">
        <v>-12236</v>
      </c>
      <c r="K8" s="15">
        <v>8346</v>
      </c>
      <c r="L8" s="12">
        <f t="shared" ref="L8:L11" si="0">SUM(D8:K8)</f>
        <v>62618</v>
      </c>
    </row>
    <row r="9" spans="3:16" x14ac:dyDescent="0.3">
      <c r="C9" s="13" t="s">
        <v>19</v>
      </c>
      <c r="D9" s="14">
        <v>2360189.5999999996</v>
      </c>
      <c r="E9" s="15">
        <v>2057102.48</v>
      </c>
      <c r="F9" s="16">
        <v>40617.72000000003</v>
      </c>
      <c r="G9" s="14">
        <v>1616375.8000000003</v>
      </c>
      <c r="H9" s="14">
        <v>2431498.2000000002</v>
      </c>
      <c r="I9" s="15">
        <v>824964.6</v>
      </c>
      <c r="J9" s="14">
        <v>1824254.32</v>
      </c>
      <c r="K9" s="15">
        <v>295941.56</v>
      </c>
      <c r="L9" s="12">
        <f t="shared" si="0"/>
        <v>11450944.280000001</v>
      </c>
    </row>
    <row r="10" spans="3:16" x14ac:dyDescent="0.3">
      <c r="C10" s="13" t="s">
        <v>20</v>
      </c>
      <c r="D10" s="14">
        <v>46504.599999999984</v>
      </c>
      <c r="E10" s="15">
        <v>38747.5</v>
      </c>
      <c r="F10" s="16">
        <v>376219.64</v>
      </c>
      <c r="G10" s="14">
        <v>90767.679999999993</v>
      </c>
      <c r="H10" s="14">
        <v>67951.320000000007</v>
      </c>
      <c r="I10" s="15">
        <v>282287.09999999998</v>
      </c>
      <c r="J10" s="14">
        <v>-101143.59999999998</v>
      </c>
      <c r="K10" s="15">
        <v>108293.90000000001</v>
      </c>
      <c r="L10" s="12">
        <f t="shared" si="0"/>
        <v>909628.14</v>
      </c>
    </row>
    <row r="11" spans="3:16" ht="15" thickBot="1" x14ac:dyDescent="0.35">
      <c r="C11" s="17" t="s">
        <v>21</v>
      </c>
      <c r="D11" s="18">
        <v>99420.6</v>
      </c>
      <c r="E11" s="19">
        <v>357136.80000000005</v>
      </c>
      <c r="F11" s="20">
        <v>-7485.2000000000116</v>
      </c>
      <c r="G11" s="18">
        <v>146013.79999999999</v>
      </c>
      <c r="H11" s="18">
        <v>-57051.479999999996</v>
      </c>
      <c r="I11" s="19">
        <v>106840</v>
      </c>
      <c r="J11" s="18">
        <v>165932</v>
      </c>
      <c r="K11" s="19">
        <v>125068</v>
      </c>
      <c r="L11" s="12">
        <f t="shared" si="0"/>
        <v>935874.52</v>
      </c>
    </row>
    <row r="12" spans="3:16" ht="15" thickTop="1" x14ac:dyDescent="0.3"/>
    <row r="14" spans="3:16" x14ac:dyDescent="0.3">
      <c r="C14" s="1" t="s">
        <v>0</v>
      </c>
      <c r="D14" s="21" t="s">
        <v>22</v>
      </c>
      <c r="E14" s="22"/>
      <c r="F14" s="22"/>
      <c r="G14" s="22"/>
    </row>
    <row r="15" spans="3:16" x14ac:dyDescent="0.3">
      <c r="D15" s="23" t="s">
        <v>23</v>
      </c>
      <c r="E15" s="23" t="s">
        <v>5</v>
      </c>
      <c r="F15" s="24" t="s">
        <v>24</v>
      </c>
      <c r="G15" s="24" t="s">
        <v>25</v>
      </c>
      <c r="H15" s="24" t="s">
        <v>10</v>
      </c>
    </row>
    <row r="16" spans="3:16" x14ac:dyDescent="0.3">
      <c r="C16" s="9" t="s">
        <v>12</v>
      </c>
      <c r="D16" s="25">
        <v>4743000</v>
      </c>
      <c r="E16" s="25">
        <v>1130562</v>
      </c>
      <c r="F16" s="25">
        <v>3461675</v>
      </c>
      <c r="G16" s="25">
        <v>5646874</v>
      </c>
      <c r="H16" s="12">
        <f>SUM(D16:G16)</f>
        <v>14982111</v>
      </c>
      <c r="O16" t="s">
        <v>22</v>
      </c>
    </row>
    <row r="17" spans="3:16" x14ac:dyDescent="0.3">
      <c r="C17" s="13" t="s">
        <v>14</v>
      </c>
      <c r="D17" s="16">
        <v>318463</v>
      </c>
      <c r="E17" s="16">
        <v>64450</v>
      </c>
      <c r="F17" s="16">
        <v>233826</v>
      </c>
      <c r="G17" s="16">
        <v>299600</v>
      </c>
      <c r="H17" s="12">
        <f t="shared" ref="H17:H22" si="1">SUM(D17:G17)</f>
        <v>916339</v>
      </c>
      <c r="O17" t="s">
        <v>13</v>
      </c>
      <c r="P17" s="12">
        <f>H17+H19+H20</f>
        <v>2073671</v>
      </c>
    </row>
    <row r="18" spans="3:16" x14ac:dyDescent="0.3">
      <c r="C18" s="13" t="s">
        <v>16</v>
      </c>
      <c r="D18" s="16">
        <v>372951</v>
      </c>
      <c r="E18" s="16">
        <v>101449</v>
      </c>
      <c r="F18" s="16">
        <v>292320</v>
      </c>
      <c r="G18" s="16">
        <v>487904</v>
      </c>
      <c r="H18" s="12">
        <f t="shared" si="1"/>
        <v>1254624</v>
      </c>
      <c r="O18" t="s">
        <v>15</v>
      </c>
      <c r="P18" s="12">
        <f>H21+H22+H23</f>
        <v>11653816</v>
      </c>
    </row>
    <row r="19" spans="3:16" x14ac:dyDescent="0.3">
      <c r="C19" s="13" t="s">
        <v>17</v>
      </c>
      <c r="D19" s="16">
        <v>154684</v>
      </c>
      <c r="E19" s="16">
        <v>48609</v>
      </c>
      <c r="F19" s="16">
        <v>173148</v>
      </c>
      <c r="G19" s="16">
        <v>445000</v>
      </c>
      <c r="H19" s="12">
        <f t="shared" si="1"/>
        <v>821441</v>
      </c>
      <c r="O19" t="s">
        <v>16</v>
      </c>
      <c r="P19" s="12">
        <f>H18</f>
        <v>1254624</v>
      </c>
    </row>
    <row r="20" spans="3:16" x14ac:dyDescent="0.3">
      <c r="C20" s="13" t="s">
        <v>18</v>
      </c>
      <c r="D20" s="16">
        <v>175731</v>
      </c>
      <c r="E20" s="16">
        <v>35270</v>
      </c>
      <c r="F20" s="16">
        <v>64890</v>
      </c>
      <c r="G20" s="16">
        <v>60000</v>
      </c>
      <c r="H20" s="12">
        <f t="shared" si="1"/>
        <v>335891</v>
      </c>
    </row>
    <row r="21" spans="3:16" x14ac:dyDescent="0.3">
      <c r="C21" s="13" t="s">
        <v>19</v>
      </c>
      <c r="D21" s="16">
        <v>2868384</v>
      </c>
      <c r="E21" s="16">
        <v>692940</v>
      </c>
      <c r="F21" s="16">
        <v>2173170</v>
      </c>
      <c r="G21" s="16">
        <v>3604177</v>
      </c>
      <c r="H21" s="12">
        <f t="shared" si="1"/>
        <v>9338671</v>
      </c>
    </row>
    <row r="22" spans="3:16" x14ac:dyDescent="0.3">
      <c r="C22" s="13" t="s">
        <v>20</v>
      </c>
      <c r="D22" s="16">
        <v>583574</v>
      </c>
      <c r="E22" s="16">
        <v>108194</v>
      </c>
      <c r="F22" s="16">
        <v>299290</v>
      </c>
      <c r="G22" s="16">
        <v>426957</v>
      </c>
      <c r="H22" s="12">
        <f t="shared" si="1"/>
        <v>1418015</v>
      </c>
    </row>
    <row r="23" spans="3:16" ht="15" thickBot="1" x14ac:dyDescent="0.35">
      <c r="C23" s="17" t="s">
        <v>21</v>
      </c>
      <c r="D23" s="20">
        <v>269213</v>
      </c>
      <c r="E23" s="20">
        <v>79650</v>
      </c>
      <c r="F23" s="20">
        <v>225031</v>
      </c>
      <c r="G23" s="20">
        <v>323236</v>
      </c>
      <c r="H23" s="12">
        <f>SUM(D23:G23)</f>
        <v>897130</v>
      </c>
    </row>
    <row r="24" spans="3:16" ht="15" thickTop="1" x14ac:dyDescent="0.3"/>
    <row r="27" spans="3:16" x14ac:dyDescent="0.3">
      <c r="C27" s="1" t="s">
        <v>26</v>
      </c>
      <c r="D27" s="2" t="s">
        <v>1</v>
      </c>
      <c r="E27" s="3"/>
      <c r="F27" s="3"/>
      <c r="G27" s="3"/>
      <c r="H27" s="3"/>
      <c r="I27" s="3"/>
      <c r="J27" s="3"/>
      <c r="K27" s="4"/>
    </row>
    <row r="28" spans="3:16" x14ac:dyDescent="0.3">
      <c r="D28" s="5" t="s">
        <v>2</v>
      </c>
      <c r="E28" s="6" t="s">
        <v>3</v>
      </c>
      <c r="F28" s="6" t="s">
        <v>4</v>
      </c>
      <c r="G28" s="7" t="s">
        <v>5</v>
      </c>
      <c r="H28" s="7" t="s">
        <v>6</v>
      </c>
      <c r="I28" s="7" t="s">
        <v>7</v>
      </c>
      <c r="J28" s="7" t="s">
        <v>8</v>
      </c>
      <c r="K28" s="7" t="s">
        <v>9</v>
      </c>
      <c r="L28" s="8" t="s">
        <v>10</v>
      </c>
      <c r="O28" t="s">
        <v>11</v>
      </c>
    </row>
    <row r="29" spans="3:16" x14ac:dyDescent="0.3">
      <c r="C29" s="9" t="s">
        <v>12</v>
      </c>
      <c r="D29" s="10">
        <v>19590</v>
      </c>
      <c r="E29" s="11">
        <v>11871.424999999999</v>
      </c>
      <c r="F29" s="11">
        <v>-2316.5</v>
      </c>
      <c r="G29" s="10">
        <v>12016</v>
      </c>
      <c r="H29" s="10">
        <v>5777</v>
      </c>
      <c r="I29" s="11">
        <v>19911</v>
      </c>
      <c r="J29" s="10">
        <v>16125</v>
      </c>
      <c r="K29" s="11">
        <v>9621</v>
      </c>
      <c r="L29" s="12">
        <f>SUM(D29:K29)</f>
        <v>92594.925000000003</v>
      </c>
      <c r="O29" t="s">
        <v>13</v>
      </c>
      <c r="P29" s="12">
        <f>L30+L32+L33</f>
        <v>8056.2000000000007</v>
      </c>
    </row>
    <row r="30" spans="3:16" x14ac:dyDescent="0.3">
      <c r="C30" s="13" t="s">
        <v>14</v>
      </c>
      <c r="D30" s="14">
        <v>1255</v>
      </c>
      <c r="E30" s="15">
        <v>-1517.25</v>
      </c>
      <c r="F30" s="15">
        <v>-4850.1499999999996</v>
      </c>
      <c r="G30" s="14">
        <v>315</v>
      </c>
      <c r="H30" s="14">
        <v>2852</v>
      </c>
      <c r="I30" s="15">
        <v>1354</v>
      </c>
      <c r="J30" s="14">
        <v>2848</v>
      </c>
      <c r="K30" s="15">
        <v>613</v>
      </c>
      <c r="L30" s="12">
        <f t="shared" ref="L30:L36" si="2">SUM(D30:K30)</f>
        <v>2869.6000000000004</v>
      </c>
      <c r="O30" t="s">
        <v>15</v>
      </c>
      <c r="P30" s="12">
        <f>L34+L35+L36</f>
        <v>82853.324999999997</v>
      </c>
    </row>
    <row r="31" spans="3:16" x14ac:dyDescent="0.3">
      <c r="C31" s="13" t="s">
        <v>16</v>
      </c>
      <c r="D31" s="14">
        <v>-243</v>
      </c>
      <c r="E31" s="15">
        <v>1059.0000000000002</v>
      </c>
      <c r="F31" s="15">
        <v>858.40000000000009</v>
      </c>
      <c r="G31" s="14">
        <v>214</v>
      </c>
      <c r="H31" s="14">
        <v>-358</v>
      </c>
      <c r="I31" s="15">
        <v>-400</v>
      </c>
      <c r="J31" s="14">
        <v>573</v>
      </c>
      <c r="K31" s="15">
        <v>-18</v>
      </c>
      <c r="L31" s="12">
        <f t="shared" si="2"/>
        <v>1685.4000000000003</v>
      </c>
      <c r="O31" t="s">
        <v>16</v>
      </c>
      <c r="P31" s="12">
        <f>L31</f>
        <v>1685.4000000000003</v>
      </c>
    </row>
    <row r="32" spans="3:16" x14ac:dyDescent="0.3">
      <c r="C32" s="13" t="s">
        <v>17</v>
      </c>
      <c r="D32" s="14">
        <v>86</v>
      </c>
      <c r="E32" s="15">
        <v>2905.3999999999996</v>
      </c>
      <c r="F32" s="15">
        <v>3031.9500000000007</v>
      </c>
      <c r="G32" s="14">
        <v>-291</v>
      </c>
      <c r="H32" s="14">
        <v>19</v>
      </c>
      <c r="I32" s="15">
        <v>-293</v>
      </c>
      <c r="J32" s="14">
        <v>-62</v>
      </c>
      <c r="K32" s="15">
        <v>9</v>
      </c>
      <c r="L32" s="12">
        <f t="shared" si="2"/>
        <v>5405.35</v>
      </c>
    </row>
    <row r="33" spans="3:12" x14ac:dyDescent="0.3">
      <c r="C33" s="13" t="s">
        <v>18</v>
      </c>
      <c r="D33" s="14">
        <v>297</v>
      </c>
      <c r="E33" s="15">
        <v>-388.29999999999995</v>
      </c>
      <c r="F33" s="15">
        <v>-9.4500000000000455</v>
      </c>
      <c r="G33" s="14">
        <v>-91</v>
      </c>
      <c r="H33" s="14">
        <v>-425</v>
      </c>
      <c r="I33" s="15">
        <v>744</v>
      </c>
      <c r="J33" s="14">
        <v>312</v>
      </c>
      <c r="K33" s="15">
        <v>-658</v>
      </c>
      <c r="L33" s="12">
        <f t="shared" si="2"/>
        <v>-218.75</v>
      </c>
    </row>
    <row r="34" spans="3:12" x14ac:dyDescent="0.3">
      <c r="C34" s="13" t="s">
        <v>19</v>
      </c>
      <c r="D34" s="14">
        <v>12508</v>
      </c>
      <c r="E34" s="15">
        <v>7535.5</v>
      </c>
      <c r="F34" s="15">
        <v>-39.049999999999955</v>
      </c>
      <c r="G34" s="14">
        <v>13232</v>
      </c>
      <c r="H34" s="14">
        <v>4819</v>
      </c>
      <c r="I34" s="15">
        <v>14678</v>
      </c>
      <c r="J34" s="14">
        <v>15787</v>
      </c>
      <c r="K34" s="15">
        <v>3944</v>
      </c>
      <c r="L34" s="12">
        <f t="shared" si="2"/>
        <v>72464.45</v>
      </c>
    </row>
    <row r="35" spans="3:12" x14ac:dyDescent="0.3">
      <c r="C35" s="13" t="s">
        <v>20</v>
      </c>
      <c r="D35" s="14">
        <v>2699</v>
      </c>
      <c r="E35" s="15">
        <v>1849.5249999999996</v>
      </c>
      <c r="F35" s="15">
        <v>-2347.1499999999996</v>
      </c>
      <c r="G35" s="14">
        <v>-240</v>
      </c>
      <c r="H35" s="14">
        <v>-879</v>
      </c>
      <c r="I35" s="15">
        <v>1992</v>
      </c>
      <c r="J35" s="14">
        <v>79</v>
      </c>
      <c r="K35" s="15">
        <v>5695</v>
      </c>
      <c r="L35" s="12">
        <f t="shared" si="2"/>
        <v>8848.375</v>
      </c>
    </row>
    <row r="36" spans="3:12" ht="15" thickBot="1" x14ac:dyDescent="0.35">
      <c r="C36" s="17" t="s">
        <v>21</v>
      </c>
      <c r="D36" s="18">
        <v>2988</v>
      </c>
      <c r="E36" s="19">
        <v>427.54999999999973</v>
      </c>
      <c r="F36" s="19">
        <v>1038.9500000000003</v>
      </c>
      <c r="G36" s="18">
        <v>-1123</v>
      </c>
      <c r="H36" s="18">
        <v>-251</v>
      </c>
      <c r="I36" s="19">
        <v>1836</v>
      </c>
      <c r="J36" s="18">
        <v>-3412</v>
      </c>
      <c r="K36" s="19">
        <v>36</v>
      </c>
      <c r="L36" s="12">
        <f t="shared" si="2"/>
        <v>1540.5</v>
      </c>
    </row>
    <row r="37" spans="3:12" ht="15" thickTop="1" x14ac:dyDescent="0.3"/>
    <row r="39" spans="3:12" x14ac:dyDescent="0.3">
      <c r="C39" s="1" t="s">
        <v>26</v>
      </c>
      <c r="D39" s="21" t="s">
        <v>22</v>
      </c>
      <c r="E39" s="22"/>
      <c r="F39" s="22"/>
      <c r="G39" s="22"/>
    </row>
    <row r="40" spans="3:12" x14ac:dyDescent="0.3">
      <c r="D40" s="23" t="s">
        <v>23</v>
      </c>
      <c r="E40" s="23" t="s">
        <v>5</v>
      </c>
      <c r="F40" s="24" t="s">
        <v>24</v>
      </c>
      <c r="G40" s="24" t="s">
        <v>25</v>
      </c>
      <c r="H40" s="24" t="s">
        <v>10</v>
      </c>
    </row>
    <row r="41" spans="3:12" x14ac:dyDescent="0.3">
      <c r="C41" s="9" t="s">
        <v>12</v>
      </c>
      <c r="D41" s="25"/>
      <c r="E41" s="25">
        <v>2960</v>
      </c>
      <c r="F41" s="25">
        <v>9856.1272173766192</v>
      </c>
      <c r="G41" s="25">
        <v>17119.98373125718</v>
      </c>
    </row>
    <row r="42" spans="3:12" ht="15" thickBot="1" x14ac:dyDescent="0.35">
      <c r="C42" s="13" t="s">
        <v>14</v>
      </c>
      <c r="D42" s="16"/>
      <c r="E42" s="16"/>
      <c r="F42" s="16"/>
      <c r="G42" s="26" t="s">
        <v>27</v>
      </c>
    </row>
    <row r="43" spans="3:12" ht="15" thickBot="1" x14ac:dyDescent="0.35">
      <c r="C43" s="13" t="s">
        <v>16</v>
      </c>
      <c r="D43" s="16"/>
      <c r="E43" s="16"/>
      <c r="F43" s="16"/>
      <c r="G43" s="26" t="s">
        <v>28</v>
      </c>
    </row>
    <row r="44" spans="3:12" ht="15" thickBot="1" x14ac:dyDescent="0.35">
      <c r="C44" s="13" t="s">
        <v>17</v>
      </c>
      <c r="D44" s="16"/>
      <c r="E44" s="16"/>
      <c r="F44" s="16"/>
      <c r="G44" s="26" t="s">
        <v>29</v>
      </c>
    </row>
    <row r="45" spans="3:12" ht="15" thickBot="1" x14ac:dyDescent="0.35">
      <c r="C45" s="13" t="s">
        <v>18</v>
      </c>
      <c r="D45" s="16"/>
      <c r="E45" s="16"/>
      <c r="F45" s="16"/>
      <c r="G45" s="26" t="s">
        <v>30</v>
      </c>
    </row>
    <row r="46" spans="3:12" ht="15" thickBot="1" x14ac:dyDescent="0.35">
      <c r="C46" s="13" t="s">
        <v>19</v>
      </c>
      <c r="D46" s="16"/>
      <c r="E46" s="16"/>
      <c r="F46" s="16"/>
      <c r="G46" s="26" t="s">
        <v>31</v>
      </c>
    </row>
    <row r="47" spans="3:12" ht="15" thickBot="1" x14ac:dyDescent="0.35">
      <c r="C47" s="13" t="s">
        <v>20</v>
      </c>
      <c r="D47" s="16"/>
      <c r="E47" s="16"/>
      <c r="F47" s="16"/>
      <c r="G47" s="26" t="s">
        <v>32</v>
      </c>
    </row>
    <row r="48" spans="3:12" ht="15" thickBot="1" x14ac:dyDescent="0.35">
      <c r="C48" s="17" t="s">
        <v>21</v>
      </c>
      <c r="D48" s="20"/>
      <c r="E48" s="20"/>
      <c r="F48" s="20"/>
      <c r="G48" s="27" t="s">
        <v>33</v>
      </c>
    </row>
    <row r="49" customFormat="1" ht="15" thickTop="1" x14ac:dyDescent="0.3"/>
  </sheetData>
  <mergeCells count="4">
    <mergeCell ref="D2:K2"/>
    <mergeCell ref="D14:G14"/>
    <mergeCell ref="D27:K27"/>
    <mergeCell ref="D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Tehleel Lone</dc:creator>
  <cp:lastModifiedBy>Tehleel Lone</cp:lastModifiedBy>
  <dcterms:created xsi:type="dcterms:W3CDTF">2026-08-25T10:30:48Z</dcterms:created>
  <dcterms:modified xsi:type="dcterms:W3CDTF">2026-08-25T10:32:38Z</dcterms:modified>
</cp:coreProperties>
</file>