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ieebvqq\Documents\"/>
    </mc:Choice>
  </mc:AlternateContent>
  <xr:revisionPtr revIDLastSave="0" documentId="8_{90295FE1-E76D-4DE9-A146-BC3FA2B76235}" xr6:coauthVersionLast="47" xr6:coauthVersionMax="47" xr10:uidLastSave="{00000000-0000-0000-0000-000000000000}"/>
  <bookViews>
    <workbookView xWindow="-108" yWindow="-108" windowWidth="23256" windowHeight="12456" xr2:uid="{C7B4C051-B56C-431A-B94A-91C735E291B7}"/>
  </bookViews>
  <sheets>
    <sheet name="GLK" sheetId="1" r:id="rId1"/>
    <sheet name="Sheet1" sheetId="2" r:id="rId2"/>
  </sheets>
  <externalReferences>
    <externalReference r:id="rId3"/>
  </externalReferences>
  <definedNames>
    <definedName name="_xlnm._FilterDatabase" localSheetId="0" hidden="1">GLK!$DG$4:$DS$60</definedName>
    <definedName name="Cal_Endtime">0.999305555555556</definedName>
    <definedName name="CurrentTime">TIME(HOUR(NOW()),MINUTE(NOW()),SECOND(NOW()))</definedName>
    <definedName name="DDOS_Target">[1]!REV[[#Headers],[QTR]]</definedName>
    <definedName name="INS_TAR" localSheetId="0">#REF!</definedName>
    <definedName name="INS_TAR">#REF!</definedName>
    <definedName name="INS_TARR" localSheetId="0">#REF!</definedName>
    <definedName name="INS_TARR">#REF!</definedName>
    <definedName name="tbl_Targets">[1]!tblTargets[[#All],[Month]:[du Tech DDoS]]</definedName>
    <definedName name="ThisWeekday">CHOOSE(WEEKDAY(TODAY()),"Sunday","Monday","Tuesday","Wednesday","Thursday","Friday","Saturday")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6" i="2" l="1"/>
  <c r="L35" i="2"/>
  <c r="L34" i="2"/>
  <c r="L33" i="2"/>
  <c r="L32" i="2"/>
  <c r="L31" i="2"/>
  <c r="P31" i="2" s="1"/>
  <c r="L30" i="2"/>
  <c r="L29" i="2"/>
  <c r="G23" i="2"/>
  <c r="G22" i="2"/>
  <c r="G21" i="2"/>
  <c r="G20" i="2"/>
  <c r="G19" i="2"/>
  <c r="G18" i="2"/>
  <c r="O19" i="2" s="1"/>
  <c r="G17" i="2"/>
  <c r="G16" i="2"/>
  <c r="L11" i="2"/>
  <c r="L10" i="2"/>
  <c r="L9" i="2"/>
  <c r="L8" i="2"/>
  <c r="L7" i="2"/>
  <c r="L6" i="2"/>
  <c r="P6" i="2" s="1"/>
  <c r="L5" i="2"/>
  <c r="L4" i="2"/>
  <c r="O18" i="2" l="1"/>
  <c r="P30" i="2"/>
  <c r="O17" i="2"/>
  <c r="P29" i="2"/>
  <c r="P4" i="2"/>
  <c r="P5" i="2"/>
</calcChain>
</file>

<file path=xl/sharedStrings.xml><?xml version="1.0" encoding="utf-8"?>
<sst xmlns="http://schemas.openxmlformats.org/spreadsheetml/2006/main" count="480" uniqueCount="144">
  <si>
    <t xml:space="preserve"> </t>
  </si>
  <si>
    <t>Report as of :</t>
  </si>
  <si>
    <t>Staff Name</t>
  </si>
  <si>
    <t>Final Achievement Accelerator Qualification</t>
  </si>
  <si>
    <t>Quarterly KPIs</t>
  </si>
  <si>
    <t>Mobile Net Adds</t>
  </si>
  <si>
    <t>Fixed Net MRC</t>
  </si>
  <si>
    <t>GLK</t>
  </si>
  <si>
    <t>Mobile Gross Adds</t>
  </si>
  <si>
    <t>+5%</t>
  </si>
  <si>
    <t>+10%</t>
  </si>
  <si>
    <t>+15%</t>
  </si>
  <si>
    <t>Total Qualified</t>
  </si>
  <si>
    <t>Mobile Churn</t>
  </si>
  <si>
    <t>Mobile Upgrade</t>
  </si>
  <si>
    <t>Fixed Gross Adds</t>
  </si>
  <si>
    <t>Fixed Churn</t>
  </si>
  <si>
    <t>Fixed Upgrade/Downgrade</t>
  </si>
  <si>
    <t>Port Ins</t>
  </si>
  <si>
    <t>Port Outs</t>
  </si>
  <si>
    <t>Hunt</t>
  </si>
  <si>
    <t>Ammar Alqudsi</t>
  </si>
  <si>
    <t>MTD Line Activations</t>
  </si>
  <si>
    <t>Muhammad Nauman Khan</t>
  </si>
  <si>
    <t>Note: Corporate/MPR split is based on Customer L40 Pricegroup mapping</t>
  </si>
  <si>
    <t>Khadija Salem</t>
  </si>
  <si>
    <t>Osman Basuleman</t>
  </si>
  <si>
    <t>Othman Hassan</t>
  </si>
  <si>
    <t>Postpaid</t>
  </si>
  <si>
    <t>Prepaid</t>
  </si>
  <si>
    <t>Data Sim</t>
  </si>
  <si>
    <t>Grand Total</t>
  </si>
  <si>
    <t>Tarek Solh</t>
  </si>
  <si>
    <t>Vertical</t>
  </si>
  <si>
    <t>Corporate</t>
  </si>
  <si>
    <t>MPR</t>
  </si>
  <si>
    <t>Total</t>
  </si>
  <si>
    <t>Khaled Alawadi</t>
  </si>
  <si>
    <t>AUH</t>
  </si>
  <si>
    <t>LE</t>
  </si>
  <si>
    <t>Humaid Al Ali</t>
  </si>
  <si>
    <t>DXB</t>
  </si>
  <si>
    <t>Maen Okour</t>
  </si>
  <si>
    <t>F-NE</t>
  </si>
  <si>
    <t>Muhannad Allow</t>
  </si>
  <si>
    <t>HUNT</t>
  </si>
  <si>
    <t>Ramzi Gholmieh</t>
  </si>
  <si>
    <t>KEY-A</t>
  </si>
  <si>
    <t>Talal Ahmed Ali Alsharhan</t>
  </si>
  <si>
    <t>KEY-B</t>
  </si>
  <si>
    <t>Mohamad Amer Sibai</t>
  </si>
  <si>
    <t>Mobile Gross Adds- Points</t>
  </si>
  <si>
    <t>Mobile Net Adds- Points</t>
  </si>
  <si>
    <t>Revenue</t>
  </si>
  <si>
    <t>du Tech</t>
  </si>
  <si>
    <t>Ahmad Alkurdi</t>
  </si>
  <si>
    <t>Actual</t>
  </si>
  <si>
    <t>Target</t>
  </si>
  <si>
    <t>% Achiev.</t>
  </si>
  <si>
    <t>FAZAA</t>
  </si>
  <si>
    <t>Bader Al Shehhi</t>
  </si>
  <si>
    <t>Bashar Al Adilee</t>
  </si>
  <si>
    <t>Overall</t>
  </si>
  <si>
    <t>Majd Nairoukh</t>
  </si>
  <si>
    <t>Nader AlMustafa</t>
  </si>
  <si>
    <t>Yousef Al Baloushi</t>
  </si>
  <si>
    <t>Adnan Bashir</t>
  </si>
  <si>
    <t>Ahmed Shaddad</t>
  </si>
  <si>
    <t>Favas Kurinhilayil</t>
  </si>
  <si>
    <t>Ranjith Chandran</t>
  </si>
  <si>
    <t>Abdulla Hussain</t>
  </si>
  <si>
    <t>Buti Bin Salmin</t>
  </si>
  <si>
    <t>Mobile Gross Adds - Lines</t>
  </si>
  <si>
    <t>Mobile Net Adds- Lines</t>
  </si>
  <si>
    <t>Fixed Gross Adds - Lines</t>
  </si>
  <si>
    <t>Fixed Net Adds - Lines</t>
  </si>
  <si>
    <t>Khalid Karmastaji</t>
  </si>
  <si>
    <t>Amjad Ilwan</t>
  </si>
  <si>
    <t>Month 1</t>
  </si>
  <si>
    <t>* red: &lt;</t>
  </si>
  <si>
    <t>* green: &gt;</t>
  </si>
  <si>
    <t>Ahemar Khan</t>
  </si>
  <si>
    <t>Fadi Saleh</t>
  </si>
  <si>
    <t>Ninette Hajjar</t>
  </si>
  <si>
    <t>Rijith Menon</t>
  </si>
  <si>
    <t>Suleiman Wanni</t>
  </si>
  <si>
    <t>Waseem Suhaf</t>
  </si>
  <si>
    <t>Hany Jawee</t>
  </si>
  <si>
    <t>Abdel Azim Sharabati</t>
  </si>
  <si>
    <t>Abraham Cherian</t>
  </si>
  <si>
    <t>Arjun Subaraman</t>
  </si>
  <si>
    <t>Note</t>
  </si>
  <si>
    <t xml:space="preserve">Mobile Gross Adds line numbers represent the overall count, and the Act90 definition has not been applied. </t>
  </si>
  <si>
    <t>Ehab Hajou</t>
  </si>
  <si>
    <t>Ghassan Fouany</t>
  </si>
  <si>
    <t>Month 1 &amp; 2</t>
  </si>
  <si>
    <t>Inayat Fazili</t>
  </si>
  <si>
    <t>Mohamad Labban</t>
  </si>
  <si>
    <t>MNP Postpaid</t>
  </si>
  <si>
    <t>Nadeem Rasheed</t>
  </si>
  <si>
    <t>Net MNP</t>
  </si>
  <si>
    <t>Mazen Adem</t>
  </si>
  <si>
    <t>Ahmad Ozdamir</t>
  </si>
  <si>
    <t>Eslam Hassan</t>
  </si>
  <si>
    <t>Khaled Abdelaziz</t>
  </si>
  <si>
    <t>Mohamed Mostafa</t>
  </si>
  <si>
    <t>Mushahid Hussain Syed</t>
  </si>
  <si>
    <t>Peter Sedrak</t>
  </si>
  <si>
    <t>Ramy Abdel Fattah</t>
  </si>
  <si>
    <t>Shabbir Lacewala</t>
  </si>
  <si>
    <t>Muhammad Shahzad Hasan</t>
  </si>
  <si>
    <t>MNP Prepaid</t>
  </si>
  <si>
    <t>du Tech DDoS</t>
  </si>
  <si>
    <t>Month</t>
  </si>
  <si>
    <t>Q1'2024</t>
  </si>
  <si>
    <t>Q2'2024</t>
  </si>
  <si>
    <t>Q3'2024</t>
  </si>
  <si>
    <t>Q4'2024</t>
  </si>
  <si>
    <t>Q1'2025</t>
  </si>
  <si>
    <t>Q3'2026</t>
  </si>
  <si>
    <t/>
  </si>
  <si>
    <t>Jan</t>
  </si>
  <si>
    <t>Feb</t>
  </si>
  <si>
    <t>Mar</t>
  </si>
  <si>
    <t>Apr</t>
  </si>
  <si>
    <t>May</t>
  </si>
  <si>
    <t>Jun</t>
  </si>
  <si>
    <t>July</t>
  </si>
  <si>
    <t>Aug</t>
  </si>
  <si>
    <t>Actuals</t>
  </si>
  <si>
    <t>F-NE, AUH, Hunt</t>
  </si>
  <si>
    <t>Key A, Key B &amp; LE</t>
  </si>
  <si>
    <t>Q1'2026</t>
  </si>
  <si>
    <t>May &amp; June</t>
  </si>
  <si>
    <t>Q3</t>
  </si>
  <si>
    <t>Net Add Lines</t>
  </si>
  <si>
    <t xml:space="preserve">       2,505 </t>
  </si>
  <si>
    <t xml:space="preserve">       2,132 </t>
  </si>
  <si>
    <t xml:space="preserve">       5,573 </t>
  </si>
  <si>
    <t xml:space="preserve">          755 </t>
  </si>
  <si>
    <t xml:space="preserve">       1,025 </t>
  </si>
  <si>
    <t xml:space="preserve">       2,533 </t>
  </si>
  <si>
    <t xml:space="preserve">       2,597 </t>
  </si>
  <si>
    <t>Q2'2026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</si>
</sst>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mmm\-yy;@"/>
    <numFmt numFmtId="166" formatCode="[$-409]d\-mmm\-yy;@"/>
    <numFmt numFmtId="167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1"/>
      <color theme="0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4"/>
      <color theme="1"/>
      <name val="Century Gothic"/>
      <family val="2"/>
    </font>
    <font>
      <b/>
      <sz val="16"/>
      <color theme="0"/>
      <name val="Century Gothic"/>
      <family val="2"/>
    </font>
    <font>
      <b/>
      <sz val="11"/>
      <name val="Century Gothic"/>
      <family val="2"/>
    </font>
    <font>
      <b/>
      <sz val="11"/>
      <color theme="6"/>
      <name val="Century Gothic"/>
      <family val="2"/>
    </font>
    <font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rgb="FF000000"/>
      <name val="Century Gothic"/>
      <family val="2"/>
    </font>
    <font>
      <i/>
      <sz val="11"/>
      <color rgb="FFC00000"/>
      <name val="Century Gothic"/>
      <family val="2"/>
    </font>
    <font>
      <b/>
      <sz val="11"/>
      <color rgb="FFFFC000"/>
      <name val="Century Gothic"/>
      <family val="2"/>
    </font>
    <font>
      <i/>
      <sz val="11"/>
      <color theme="1"/>
      <name val="Century Gothic"/>
      <family val="2"/>
    </font>
    <font>
      <b/>
      <sz val="11"/>
      <color rgb="FF00B0F0"/>
      <name val="Century Gothic"/>
      <family val="2"/>
    </font>
    <font>
      <b/>
      <sz val="16"/>
      <color theme="1"/>
      <name val="Century Gothic"/>
      <family val="2"/>
    </font>
    <font>
      <b/>
      <sz val="16"/>
      <color theme="1"/>
      <name val="Segoe UI"/>
      <family val="2"/>
    </font>
    <font>
      <b/>
      <sz val="11"/>
      <color theme="1"/>
      <name val="Calibri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4">
    <border>
      <left/>
      <right/>
      <top/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7"/>
      </left>
      <right style="thin">
        <color theme="7" tint="0.79998168889431442"/>
      </right>
      <top style="thick">
        <color theme="7"/>
      </top>
      <bottom/>
      <diagonal/>
    </border>
    <border>
      <left/>
      <right style="thin">
        <color theme="7" tint="0.79998168889431442"/>
      </right>
      <top style="thick">
        <color theme="7"/>
      </top>
      <bottom/>
      <diagonal/>
    </border>
    <border>
      <left style="thick">
        <color theme="7"/>
      </left>
      <right/>
      <top/>
      <bottom style="thin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/>
      <right style="thin">
        <color theme="7"/>
      </right>
      <top/>
      <bottom style="thin">
        <color theme="7" tint="0.79998168889431442"/>
      </bottom>
      <diagonal/>
    </border>
    <border>
      <left style="thin">
        <color theme="7"/>
      </left>
      <right/>
      <top/>
      <bottom style="thin">
        <color theme="7" tint="0.79998168889431442"/>
      </bottom>
      <diagonal/>
    </border>
    <border>
      <left/>
      <right style="thick">
        <color theme="7"/>
      </right>
      <top/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6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medium">
        <color theme="4" tint="0.39988402966399123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medium">
        <color theme="4" tint="0.39988402966399123"/>
      </top>
      <bottom style="thin">
        <color theme="4" tint="0.39994506668294322"/>
      </bottom>
      <diagonal/>
    </border>
    <border>
      <left style="thick">
        <color theme="7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 style="medium">
        <color theme="7"/>
      </left>
      <right style="thick">
        <color theme="7"/>
      </right>
      <top style="thin">
        <color theme="6"/>
      </top>
      <bottom style="thin">
        <color theme="7" tint="0.79998168889431442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ck">
        <color theme="7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/>
      </bottom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theme="7"/>
      </top>
      <bottom style="thin">
        <color theme="7" tint="0.79998168889431442"/>
      </bottom>
      <diagonal/>
    </border>
    <border>
      <left style="thick">
        <color theme="7"/>
      </left>
      <right/>
      <top style="thick">
        <color theme="7"/>
      </top>
      <bottom style="thin">
        <color theme="7" tint="0.79998168889431442"/>
      </bottom>
      <diagonal/>
    </border>
    <border>
      <left/>
      <right style="thick">
        <color theme="7"/>
      </right>
      <top style="thick">
        <color theme="7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medium">
        <color theme="4" tint="0.39988402966399123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/>
      </right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/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medium">
        <color theme="4" tint="0.39988402966399123"/>
      </left>
      <right style="medium">
        <color theme="4" tint="0.39988402966399123"/>
      </right>
      <top style="medium">
        <color theme="4" tint="0.39988402966399123"/>
      </top>
      <bottom/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6"/>
      </top>
      <bottom style="thin">
        <color theme="7" tint="0.79998168889431442"/>
      </bottom>
      <diagonal/>
    </border>
    <border>
      <left style="thin">
        <color theme="7" tint="0.79998168889431442"/>
      </left>
      <right style="thick">
        <color theme="7"/>
      </right>
      <top/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 tint="0.39991454817346722"/>
      </bottom>
      <diagonal/>
    </border>
    <border>
      <left style="medium">
        <color theme="4" tint="0.39988402966399123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/>
      <right style="medium">
        <color theme="4" tint="0.39988402966399123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/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indexed="64"/>
      </top>
      <bottom style="thin">
        <color theme="6" tint="0.39997558519241921"/>
      </bottom>
      <diagonal/>
    </border>
    <border>
      <left style="thick">
        <color theme="7"/>
      </left>
      <right/>
      <top style="thin">
        <color theme="7" tint="0.79998168889431442"/>
      </top>
      <bottom/>
      <diagonal/>
    </border>
    <border>
      <left style="thick">
        <color theme="7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n">
        <color theme="4" tint="0.39991454817346722"/>
      </bottom>
      <diagonal/>
    </border>
    <border>
      <left style="thick">
        <color theme="7"/>
      </left>
      <right/>
      <top style="thin">
        <color theme="4" tint="0.39994506668294322"/>
      </top>
      <bottom style="thick">
        <color theme="7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ck">
        <color theme="7"/>
      </bottom>
      <diagonal/>
    </border>
    <border>
      <left style="thick">
        <color theme="7"/>
      </left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/>
      <diagonal/>
    </border>
    <border>
      <left/>
      <right style="medium">
        <color rgb="FFE0EAEF"/>
      </right>
      <top/>
      <bottom style="medium">
        <color rgb="FFE0EAEF"/>
      </bottom>
      <diagonal/>
    </border>
    <border>
      <left/>
      <right style="medium">
        <color rgb="FFE0EAEF"/>
      </right>
      <top/>
      <bottom style="thick">
        <color rgb="FF6997AF"/>
      </bottom>
      <diagonal/>
    </border>
  </borders>
  <cellStyleXfs count="3">
    <xf numFmtId="165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5">
    <xf numFmtId="165" fontId="0" fillId="0" borderId="0" xfId="0"/>
    <xf numFmtId="15" fontId="2" fillId="0" borderId="0" xfId="0" applyNumberFormat="1" applyFont="1"/>
    <xf numFmtId="165" fontId="3" fillId="0" borderId="0" xfId="0" applyFont="1" applyAlignment="1">
      <alignment horizontal="right"/>
    </xf>
    <xf numFmtId="166" fontId="4" fillId="0" borderId="0" xfId="0" applyNumberFormat="1" applyFont="1" applyAlignment="1">
      <alignment horizontal="left"/>
    </xf>
    <xf numFmtId="4" fontId="5" fillId="0" borderId="0" xfId="0" applyNumberFormat="1" applyFont="1"/>
    <xf numFmtId="165" fontId="2" fillId="0" borderId="0" xfId="0" applyFont="1"/>
    <xf numFmtId="165" fontId="6" fillId="0" borderId="0" xfId="0" applyFont="1"/>
    <xf numFmtId="165" fontId="6" fillId="2" borderId="0" xfId="0" applyFont="1" applyFill="1"/>
    <xf numFmtId="165" fontId="7" fillId="3" borderId="1" xfId="0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Continuous" vertical="center"/>
    </xf>
    <xf numFmtId="0" fontId="7" fillId="3" borderId="3" xfId="0" applyNumberFormat="1" applyFont="1" applyFill="1" applyBorder="1" applyAlignment="1">
      <alignment horizontal="centerContinuous" vertical="center"/>
    </xf>
    <xf numFmtId="0" fontId="7" fillId="3" borderId="4" xfId="0" applyNumberFormat="1" applyFont="1" applyFill="1" applyBorder="1" applyAlignment="1">
      <alignment horizontal="centerContinuous" vertical="center"/>
    </xf>
    <xf numFmtId="165" fontId="5" fillId="0" borderId="0" xfId="0" applyFont="1"/>
    <xf numFmtId="165" fontId="2" fillId="5" borderId="0" xfId="0" applyFont="1" applyFill="1"/>
    <xf numFmtId="165" fontId="7" fillId="3" borderId="8" xfId="0" applyFont="1" applyFill="1" applyBorder="1" applyAlignment="1">
      <alignment horizontal="center" vertical="center"/>
    </xf>
    <xf numFmtId="165" fontId="7" fillId="5" borderId="9" xfId="0" applyFont="1" applyFill="1" applyBorder="1" applyAlignment="1">
      <alignment horizontal="centerContinuous" vertical="center"/>
    </xf>
    <xf numFmtId="165" fontId="7" fillId="5" borderId="10" xfId="0" applyFont="1" applyFill="1" applyBorder="1" applyAlignment="1">
      <alignment horizontal="centerContinuous" vertical="center"/>
    </xf>
    <xf numFmtId="165" fontId="7" fillId="5" borderId="4" xfId="0" applyFont="1" applyFill="1" applyBorder="1" applyAlignment="1">
      <alignment horizontal="centerContinuous" vertical="center"/>
    </xf>
    <xf numFmtId="165" fontId="7" fillId="5" borderId="9" xfId="0" applyFont="1" applyFill="1" applyBorder="1" applyAlignment="1">
      <alignment horizontal="centerContinuous"/>
    </xf>
    <xf numFmtId="165" fontId="7" fillId="5" borderId="10" xfId="0" applyFont="1" applyFill="1" applyBorder="1" applyAlignment="1">
      <alignment horizontal="centerContinuous"/>
    </xf>
    <xf numFmtId="165" fontId="7" fillId="5" borderId="4" xfId="0" applyFont="1" applyFill="1" applyBorder="1" applyAlignment="1">
      <alignment horizontal="centerContinuous"/>
    </xf>
    <xf numFmtId="165" fontId="9" fillId="3" borderId="11" xfId="0" applyFont="1" applyFill="1" applyBorder="1" applyAlignment="1">
      <alignment horizontal="centerContinuous" vertical="center"/>
    </xf>
    <xf numFmtId="165" fontId="9" fillId="3" borderId="12" xfId="0" applyFont="1" applyFill="1" applyBorder="1" applyAlignment="1">
      <alignment horizontal="centerContinuous" vertical="center"/>
    </xf>
    <xf numFmtId="165" fontId="9" fillId="3" borderId="13" xfId="0" applyFont="1" applyFill="1" applyBorder="1" applyAlignment="1">
      <alignment horizontal="centerContinuous" vertical="center"/>
    </xf>
    <xf numFmtId="165" fontId="9" fillId="3" borderId="14" xfId="0" applyFont="1" applyFill="1" applyBorder="1" applyAlignment="1">
      <alignment horizontal="centerContinuous" vertical="center"/>
    </xf>
    <xf numFmtId="165" fontId="9" fillId="3" borderId="15" xfId="0" applyFont="1" applyFill="1" applyBorder="1" applyAlignment="1">
      <alignment horizontal="centerContinuous" vertical="center"/>
    </xf>
    <xf numFmtId="165" fontId="10" fillId="0" borderId="0" xfId="0" applyFont="1" applyAlignment="1">
      <alignment vertical="center"/>
    </xf>
    <xf numFmtId="165" fontId="7" fillId="3" borderId="16" xfId="0" applyFont="1" applyFill="1" applyBorder="1" applyAlignment="1">
      <alignment horizontal="center" vertical="center"/>
    </xf>
    <xf numFmtId="9" fontId="11" fillId="0" borderId="17" xfId="2" applyFont="1" applyFill="1" applyBorder="1" applyAlignment="1">
      <alignment horizontal="center" vertical="center"/>
    </xf>
    <xf numFmtId="165" fontId="11" fillId="0" borderId="18" xfId="0" applyFont="1" applyBorder="1" applyAlignment="1">
      <alignment horizontal="center" vertical="center"/>
    </xf>
    <xf numFmtId="165" fontId="11" fillId="0" borderId="19" xfId="0" applyFont="1" applyBorder="1" applyAlignment="1">
      <alignment horizontal="center" vertical="center"/>
    </xf>
    <xf numFmtId="9" fontId="11" fillId="0" borderId="20" xfId="0" quotePrefix="1" applyNumberFormat="1" applyFont="1" applyBorder="1" applyAlignment="1">
      <alignment horizontal="center" vertical="center"/>
    </xf>
    <xf numFmtId="165" fontId="12" fillId="0" borderId="0" xfId="0" applyFont="1" applyAlignment="1">
      <alignment horizontal="center"/>
    </xf>
    <xf numFmtId="165" fontId="12" fillId="0" borderId="21" xfId="0" applyFont="1" applyBorder="1" applyAlignment="1">
      <alignment horizontal="center"/>
    </xf>
    <xf numFmtId="165" fontId="2" fillId="0" borderId="22" xfId="0" applyFont="1" applyBorder="1"/>
    <xf numFmtId="165" fontId="7" fillId="6" borderId="23" xfId="0" applyFont="1" applyFill="1" applyBorder="1" applyAlignment="1">
      <alignment horizontal="centerContinuous" vertical="center"/>
    </xf>
    <xf numFmtId="165" fontId="7" fillId="6" borderId="24" xfId="0" applyFont="1" applyFill="1" applyBorder="1" applyAlignment="1">
      <alignment horizontal="centerContinuous" vertical="center"/>
    </xf>
    <xf numFmtId="165" fontId="7" fillId="6" borderId="25" xfId="0" applyFont="1" applyFill="1" applyBorder="1" applyAlignment="1">
      <alignment horizontal="centerContinuous" vertical="center"/>
    </xf>
    <xf numFmtId="4" fontId="2" fillId="0" borderId="0" xfId="0" applyNumberFormat="1" applyFont="1"/>
    <xf numFmtId="165" fontId="7" fillId="3" borderId="22" xfId="0" applyFont="1" applyFill="1" applyBorder="1" applyAlignment="1">
      <alignment vertical="center"/>
    </xf>
    <xf numFmtId="167" fontId="13" fillId="7" borderId="26" xfId="1" applyNumberFormat="1" applyFont="1" applyFill="1" applyBorder="1" applyAlignment="1">
      <alignment horizontal="center" vertical="top"/>
    </xf>
    <xf numFmtId="167" fontId="13" fillId="7" borderId="27" xfId="1" applyNumberFormat="1" applyFont="1" applyFill="1" applyBorder="1" applyAlignment="1">
      <alignment horizontal="center" vertical="top"/>
    </xf>
    <xf numFmtId="167" fontId="13" fillId="7" borderId="28" xfId="1" applyNumberFormat="1" applyFont="1" applyFill="1" applyBorder="1" applyAlignment="1">
      <alignment horizontal="center" vertical="top"/>
    </xf>
    <xf numFmtId="167" fontId="13" fillId="7" borderId="29" xfId="1" applyNumberFormat="1" applyFont="1" applyFill="1" applyBorder="1" applyAlignment="1">
      <alignment horizontal="center" vertical="center"/>
    </xf>
    <xf numFmtId="167" fontId="13" fillId="7" borderId="29" xfId="1" applyNumberFormat="1" applyFont="1" applyFill="1" applyBorder="1" applyAlignment="1">
      <alignment horizontal="center" vertical="top"/>
    </xf>
    <xf numFmtId="167" fontId="14" fillId="0" borderId="30" xfId="1" applyNumberFormat="1" applyFont="1" applyBorder="1" applyAlignment="1">
      <alignment horizontal="left" vertical="center"/>
    </xf>
    <xf numFmtId="165" fontId="2" fillId="0" borderId="21" xfId="0" applyFont="1" applyBorder="1"/>
    <xf numFmtId="165" fontId="2" fillId="2" borderId="0" xfId="0" applyFont="1" applyFill="1"/>
    <xf numFmtId="165" fontId="15" fillId="0" borderId="0" xfId="0" applyFont="1"/>
    <xf numFmtId="165" fontId="10" fillId="8" borderId="31" xfId="0" applyFont="1" applyFill="1" applyBorder="1" applyAlignment="1">
      <alignment horizontal="left" vertical="center"/>
    </xf>
    <xf numFmtId="167" fontId="2" fillId="7" borderId="32" xfId="1" applyNumberFormat="1" applyFont="1" applyFill="1" applyBorder="1" applyAlignment="1">
      <alignment horizontal="center" vertical="center"/>
    </xf>
    <xf numFmtId="167" fontId="2" fillId="0" borderId="33" xfId="1" applyNumberFormat="1" applyFont="1" applyFill="1" applyBorder="1" applyAlignment="1">
      <alignment horizontal="center" vertical="top"/>
    </xf>
    <xf numFmtId="167" fontId="2" fillId="0" borderId="34" xfId="1" applyNumberFormat="1" applyFont="1" applyFill="1" applyBorder="1" applyAlignment="1">
      <alignment horizontal="center" vertical="top"/>
    </xf>
    <xf numFmtId="167" fontId="2" fillId="0" borderId="35" xfId="1" applyNumberFormat="1" applyFont="1" applyFill="1" applyBorder="1" applyAlignment="1">
      <alignment horizontal="center" vertical="top"/>
    </xf>
    <xf numFmtId="167" fontId="2" fillId="7" borderId="32" xfId="1" applyNumberFormat="1" applyFont="1" applyFill="1" applyBorder="1" applyAlignment="1">
      <alignment horizontal="center" vertical="top"/>
    </xf>
    <xf numFmtId="167" fontId="14" fillId="9" borderId="30" xfId="1" applyNumberFormat="1" applyFont="1" applyFill="1" applyBorder="1" applyAlignment="1">
      <alignment horizontal="left" vertical="center"/>
    </xf>
    <xf numFmtId="9" fontId="10" fillId="0" borderId="31" xfId="0" applyNumberFormat="1" applyFont="1" applyBorder="1" applyAlignment="1">
      <alignment horizontal="center" vertical="center"/>
    </xf>
    <xf numFmtId="165" fontId="16" fillId="0" borderId="0" xfId="0" applyFont="1"/>
    <xf numFmtId="165" fontId="10" fillId="0" borderId="31" xfId="0" applyFont="1" applyBorder="1" applyAlignment="1">
      <alignment horizontal="center" vertical="center"/>
    </xf>
    <xf numFmtId="165" fontId="10" fillId="8" borderId="38" xfId="0" applyFont="1" applyFill="1" applyBorder="1" applyAlignment="1">
      <alignment horizontal="left" vertical="center"/>
    </xf>
    <xf numFmtId="165" fontId="10" fillId="5" borderId="39" xfId="0" applyFont="1" applyFill="1" applyBorder="1" applyAlignment="1">
      <alignment horizontal="centerContinuous" vertical="center"/>
    </xf>
    <xf numFmtId="165" fontId="10" fillId="8" borderId="40" xfId="0" applyFont="1" applyFill="1" applyBorder="1" applyAlignment="1">
      <alignment horizontal="left" vertical="center"/>
    </xf>
    <xf numFmtId="167" fontId="2" fillId="7" borderId="41" xfId="1" applyNumberFormat="1" applyFont="1" applyFill="1" applyBorder="1" applyAlignment="1">
      <alignment horizontal="center" vertical="center"/>
    </xf>
    <xf numFmtId="167" fontId="2" fillId="0" borderId="42" xfId="1" applyNumberFormat="1" applyFont="1" applyFill="1" applyBorder="1" applyAlignment="1">
      <alignment horizontal="center" vertical="top"/>
    </xf>
    <xf numFmtId="167" fontId="2" fillId="0" borderId="43" xfId="1" applyNumberFormat="1" applyFont="1" applyFill="1" applyBorder="1" applyAlignment="1">
      <alignment horizontal="center" vertical="top"/>
    </xf>
    <xf numFmtId="167" fontId="2" fillId="0" borderId="44" xfId="1" applyNumberFormat="1" applyFont="1" applyFill="1" applyBorder="1" applyAlignment="1">
      <alignment horizontal="center" vertical="top"/>
    </xf>
    <xf numFmtId="167" fontId="2" fillId="7" borderId="41" xfId="1" applyNumberFormat="1" applyFont="1" applyFill="1" applyBorder="1" applyAlignment="1">
      <alignment horizontal="center" vertical="top"/>
    </xf>
    <xf numFmtId="165" fontId="7" fillId="5" borderId="22" xfId="0" applyFont="1" applyFill="1" applyBorder="1" applyAlignment="1">
      <alignment textRotation="90"/>
    </xf>
    <xf numFmtId="165" fontId="13" fillId="2" borderId="45" xfId="0" applyFont="1" applyFill="1" applyBorder="1" applyAlignment="1">
      <alignment horizontal="left" vertical="center"/>
    </xf>
    <xf numFmtId="165" fontId="7" fillId="6" borderId="39" xfId="0" applyFont="1" applyFill="1" applyBorder="1" applyAlignment="1">
      <alignment horizontal="center" vertical="center"/>
    </xf>
    <xf numFmtId="165" fontId="7" fillId="6" borderId="39" xfId="0" applyFont="1" applyFill="1" applyBorder="1" applyAlignment="1">
      <alignment horizontal="center" vertical="top"/>
    </xf>
    <xf numFmtId="167" fontId="3" fillId="2" borderId="30" xfId="1" applyNumberFormat="1" applyFont="1" applyFill="1" applyBorder="1" applyAlignment="1">
      <alignment horizontal="left" vertical="center"/>
    </xf>
    <xf numFmtId="165" fontId="13" fillId="10" borderId="45" xfId="0" applyFont="1" applyFill="1" applyBorder="1" applyAlignment="1">
      <alignment horizontal="left" vertical="center"/>
    </xf>
    <xf numFmtId="167" fontId="2" fillId="0" borderId="39" xfId="1" applyNumberFormat="1" applyFont="1" applyBorder="1" applyAlignment="1">
      <alignment horizontal="center" vertical="top"/>
    </xf>
    <xf numFmtId="167" fontId="2" fillId="0" borderId="0" xfId="1" applyNumberFormat="1" applyFont="1"/>
    <xf numFmtId="165" fontId="2" fillId="0" borderId="46" xfId="0" applyFont="1" applyBorder="1"/>
    <xf numFmtId="165" fontId="2" fillId="0" borderId="47" xfId="0" applyFont="1" applyBorder="1"/>
    <xf numFmtId="165" fontId="2" fillId="0" borderId="48" xfId="0" applyFont="1" applyBorder="1"/>
    <xf numFmtId="9" fontId="2" fillId="0" borderId="0" xfId="0" applyNumberFormat="1" applyFont="1"/>
    <xf numFmtId="167" fontId="3" fillId="11" borderId="49" xfId="1" applyNumberFormat="1" applyFont="1" applyFill="1" applyBorder="1" applyAlignment="1">
      <alignment horizontal="left" vertical="center"/>
    </xf>
    <xf numFmtId="165" fontId="7" fillId="3" borderId="50" xfId="0" applyFont="1" applyFill="1" applyBorder="1" applyAlignment="1">
      <alignment horizontal="centerContinuous" vertical="center"/>
    </xf>
    <xf numFmtId="165" fontId="7" fillId="3" borderId="51" xfId="0" applyFont="1" applyFill="1" applyBorder="1" applyAlignment="1">
      <alignment horizontal="centerContinuous" vertical="center"/>
    </xf>
    <xf numFmtId="165" fontId="7" fillId="3" borderId="52" xfId="0" applyFont="1" applyFill="1" applyBorder="1" applyAlignment="1">
      <alignment horizontal="centerContinuous" vertical="center"/>
    </xf>
    <xf numFmtId="165" fontId="7" fillId="5" borderId="53" xfId="0" applyFont="1" applyFill="1" applyBorder="1" applyAlignment="1">
      <alignment horizontal="centerContinuous" vertical="top"/>
    </xf>
    <xf numFmtId="165" fontId="7" fillId="5" borderId="54" xfId="0" applyFont="1" applyFill="1" applyBorder="1" applyAlignment="1">
      <alignment horizontal="center" vertical="top"/>
    </xf>
    <xf numFmtId="165" fontId="7" fillId="5" borderId="35" xfId="0" applyFont="1" applyFill="1" applyBorder="1" applyAlignment="1">
      <alignment horizontal="center" vertical="top"/>
    </xf>
    <xf numFmtId="165" fontId="7" fillId="5" borderId="55" xfId="0" applyFont="1" applyFill="1" applyBorder="1" applyAlignment="1">
      <alignment horizontal="centerContinuous" vertical="top"/>
    </xf>
    <xf numFmtId="165" fontId="7" fillId="5" borderId="56" xfId="0" applyFont="1" applyFill="1" applyBorder="1" applyAlignment="1">
      <alignment horizontal="center" vertical="top"/>
    </xf>
    <xf numFmtId="165" fontId="13" fillId="10" borderId="57" xfId="0" applyFont="1" applyFill="1" applyBorder="1" applyAlignment="1">
      <alignment horizontal="left" vertical="center"/>
    </xf>
    <xf numFmtId="165" fontId="11" fillId="0" borderId="58" xfId="0" applyFont="1" applyBorder="1" applyAlignment="1">
      <alignment horizontal="center" vertical="center"/>
    </xf>
    <xf numFmtId="165" fontId="11" fillId="0" borderId="59" xfId="0" applyFont="1" applyBorder="1" applyAlignment="1">
      <alignment horizontal="center" vertical="center"/>
    </xf>
    <xf numFmtId="165" fontId="11" fillId="0" borderId="60" xfId="0" applyFont="1" applyBorder="1" applyAlignment="1">
      <alignment horizontal="center" vertical="center"/>
    </xf>
    <xf numFmtId="165" fontId="11" fillId="0" borderId="17" xfId="0" applyFont="1" applyBorder="1" applyAlignment="1">
      <alignment horizontal="center" vertical="center"/>
    </xf>
    <xf numFmtId="165" fontId="11" fillId="0" borderId="61" xfId="0" applyFont="1" applyBorder="1" applyAlignment="1">
      <alignment horizontal="center" vertical="center"/>
    </xf>
    <xf numFmtId="167" fontId="10" fillId="11" borderId="39" xfId="1" applyNumberFormat="1" applyFont="1" applyFill="1" applyBorder="1" applyAlignment="1">
      <alignment horizontal="left"/>
    </xf>
    <xf numFmtId="167" fontId="10" fillId="11" borderId="39" xfId="1" applyNumberFormat="1" applyFont="1" applyFill="1" applyBorder="1" applyAlignment="1">
      <alignment horizontal="right"/>
    </xf>
    <xf numFmtId="165" fontId="7" fillId="5" borderId="8" xfId="0" applyFont="1" applyFill="1" applyBorder="1" applyAlignment="1">
      <alignment horizontal="center" vertical="top"/>
    </xf>
    <xf numFmtId="167" fontId="13" fillId="7" borderId="63" xfId="1" applyNumberFormat="1" applyFont="1" applyFill="1" applyBorder="1" applyAlignment="1">
      <alignment horizontal="center" vertical="top"/>
    </xf>
    <xf numFmtId="9" fontId="17" fillId="7" borderId="28" xfId="2" applyFont="1" applyFill="1" applyBorder="1" applyAlignment="1">
      <alignment horizontal="center" vertical="top"/>
    </xf>
    <xf numFmtId="167" fontId="13" fillId="7" borderId="64" xfId="1" applyNumberFormat="1" applyFont="1" applyFill="1" applyBorder="1" applyAlignment="1">
      <alignment horizontal="center" vertical="top"/>
    </xf>
    <xf numFmtId="9" fontId="17" fillId="7" borderId="65" xfId="2" applyFont="1" applyFill="1" applyBorder="1" applyAlignment="1">
      <alignment horizontal="center" vertical="top"/>
    </xf>
    <xf numFmtId="9" fontId="17" fillId="0" borderId="56" xfId="2" applyFont="1" applyBorder="1" applyAlignment="1">
      <alignment horizontal="center" vertical="top"/>
    </xf>
    <xf numFmtId="165" fontId="11" fillId="0" borderId="0" xfId="0" applyFont="1" applyAlignment="1">
      <alignment horizontal="center" vertical="center"/>
    </xf>
    <xf numFmtId="165" fontId="11" fillId="0" borderId="67" xfId="0" applyFont="1" applyBorder="1" applyAlignment="1">
      <alignment horizontal="center" vertical="center"/>
    </xf>
    <xf numFmtId="165" fontId="11" fillId="0" borderId="68" xfId="0" applyFont="1" applyBorder="1" applyAlignment="1">
      <alignment horizontal="center" vertical="center"/>
    </xf>
    <xf numFmtId="165" fontId="10" fillId="8" borderId="31" xfId="0" applyFont="1" applyFill="1" applyBorder="1" applyAlignment="1">
      <alignment horizontal="center" vertical="center"/>
    </xf>
    <xf numFmtId="167" fontId="2" fillId="0" borderId="69" xfId="1" applyNumberFormat="1" applyFont="1" applyFill="1" applyBorder="1" applyAlignment="1">
      <alignment horizontal="center" vertical="top"/>
    </xf>
    <xf numFmtId="9" fontId="17" fillId="7" borderId="56" xfId="2" applyFont="1" applyFill="1" applyBorder="1" applyAlignment="1">
      <alignment horizontal="center" vertical="top"/>
    </xf>
    <xf numFmtId="167" fontId="13" fillId="2" borderId="70" xfId="1" applyNumberFormat="1" applyFont="1" applyFill="1" applyBorder="1" applyAlignment="1">
      <alignment horizontal="center" vertical="top"/>
    </xf>
    <xf numFmtId="167" fontId="13" fillId="2" borderId="39" xfId="1" applyNumberFormat="1" applyFont="1" applyFill="1" applyBorder="1" applyAlignment="1">
      <alignment horizontal="center" vertical="top"/>
    </xf>
    <xf numFmtId="167" fontId="13" fillId="2" borderId="71" xfId="1" applyNumberFormat="1" applyFont="1" applyFill="1" applyBorder="1" applyAlignment="1">
      <alignment horizontal="center" vertical="top"/>
    </xf>
    <xf numFmtId="9" fontId="17" fillId="0" borderId="35" xfId="2" applyFont="1" applyBorder="1" applyAlignment="1">
      <alignment horizontal="center" vertical="top"/>
    </xf>
    <xf numFmtId="167" fontId="2" fillId="0" borderId="70" xfId="1" applyNumberFormat="1" applyFont="1" applyBorder="1" applyAlignment="1">
      <alignment horizontal="center" vertical="top"/>
    </xf>
    <xf numFmtId="167" fontId="2" fillId="0" borderId="71" xfId="1" applyNumberFormat="1" applyFont="1" applyBorder="1" applyAlignment="1">
      <alignment horizontal="center" vertical="top"/>
    </xf>
    <xf numFmtId="167" fontId="7" fillId="6" borderId="39" xfId="1" applyNumberFormat="1" applyFont="1" applyFill="1" applyBorder="1" applyAlignment="1">
      <alignment horizontal="center" vertical="center"/>
    </xf>
    <xf numFmtId="167" fontId="7" fillId="6" borderId="39" xfId="1" applyNumberFormat="1" applyFont="1" applyFill="1" applyBorder="1" applyAlignment="1">
      <alignment horizontal="center" vertical="top"/>
    </xf>
    <xf numFmtId="165" fontId="10" fillId="8" borderId="40" xfId="0" applyFont="1" applyFill="1" applyBorder="1" applyAlignment="1">
      <alignment horizontal="center" vertical="center"/>
    </xf>
    <xf numFmtId="167" fontId="2" fillId="0" borderId="72" xfId="1" applyNumberFormat="1" applyFont="1" applyFill="1" applyBorder="1" applyAlignment="1">
      <alignment horizontal="center" vertical="top"/>
    </xf>
    <xf numFmtId="9" fontId="17" fillId="0" borderId="44" xfId="2" applyFont="1" applyBorder="1" applyAlignment="1">
      <alignment horizontal="center" vertical="top"/>
    </xf>
    <xf numFmtId="9" fontId="17" fillId="0" borderId="73" xfId="2" applyFont="1" applyBorder="1" applyAlignment="1">
      <alignment horizontal="center" vertical="top"/>
    </xf>
    <xf numFmtId="167" fontId="2" fillId="0" borderId="0" xfId="1" applyNumberFormat="1" applyFont="1" applyBorder="1" applyAlignment="1">
      <alignment horizontal="center" vertical="top"/>
    </xf>
    <xf numFmtId="167" fontId="2" fillId="0" borderId="74" xfId="1" applyNumberFormat="1" applyFont="1" applyBorder="1" applyAlignment="1">
      <alignment horizontal="center" vertical="top"/>
    </xf>
    <xf numFmtId="167" fontId="2" fillId="0" borderId="75" xfId="1" applyNumberFormat="1" applyFont="1" applyBorder="1" applyAlignment="1">
      <alignment horizontal="center" vertical="top"/>
    </xf>
    <xf numFmtId="167" fontId="2" fillId="0" borderId="76" xfId="1" applyNumberFormat="1" applyFont="1" applyBorder="1" applyAlignment="1">
      <alignment horizontal="center" vertical="top"/>
    </xf>
    <xf numFmtId="167" fontId="5" fillId="0" borderId="0" xfId="1" applyNumberFormat="1" applyFont="1"/>
    <xf numFmtId="4" fontId="5" fillId="12" borderId="0" xfId="0" applyNumberFormat="1" applyFont="1" applyFill="1"/>
    <xf numFmtId="165" fontId="7" fillId="0" borderId="0" xfId="0" applyFont="1" applyAlignment="1">
      <alignment horizontal="centerContinuous" vertical="center"/>
    </xf>
    <xf numFmtId="165" fontId="18" fillId="12" borderId="0" xfId="0" applyFont="1" applyFill="1" applyAlignment="1">
      <alignment horizontal="right"/>
    </xf>
    <xf numFmtId="9" fontId="2" fillId="12" borderId="0" xfId="0" applyNumberFormat="1" applyFont="1" applyFill="1" applyAlignment="1">
      <alignment horizontal="left"/>
    </xf>
    <xf numFmtId="9" fontId="7" fillId="0" borderId="0" xfId="2" applyFont="1" applyFill="1" applyBorder="1" applyAlignment="1">
      <alignment horizontal="center" vertical="center"/>
    </xf>
    <xf numFmtId="165" fontId="7" fillId="0" borderId="0" xfId="0" applyFont="1" applyAlignment="1">
      <alignment horizontal="center" vertical="center"/>
    </xf>
    <xf numFmtId="165" fontId="19" fillId="0" borderId="0" xfId="0" applyFont="1" applyAlignment="1">
      <alignment horizontal="center" vertical="center"/>
    </xf>
    <xf numFmtId="165" fontId="7" fillId="6" borderId="62" xfId="0" applyFont="1" applyFill="1" applyBorder="1" applyAlignment="1">
      <alignment horizontal="center" vertical="center" wrapText="1"/>
    </xf>
    <xf numFmtId="165" fontId="7" fillId="6" borderId="23" xfId="0" applyFont="1" applyFill="1" applyBorder="1" applyAlignment="1">
      <alignment horizontal="center" vertical="center"/>
    </xf>
    <xf numFmtId="165" fontId="7" fillId="6" borderId="24" xfId="0" applyFont="1" applyFill="1" applyBorder="1" applyAlignment="1">
      <alignment horizontal="center" vertical="center"/>
    </xf>
    <xf numFmtId="165" fontId="7" fillId="6" borderId="25" xfId="0" applyFont="1" applyFill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top"/>
    </xf>
    <xf numFmtId="167" fontId="13" fillId="0" borderId="0" xfId="1" applyNumberFormat="1" applyFont="1" applyFill="1" applyBorder="1" applyAlignment="1">
      <alignment horizontal="center" vertical="top"/>
    </xf>
    <xf numFmtId="165" fontId="7" fillId="6" borderId="66" xfId="0" applyFont="1" applyFill="1" applyBorder="1" applyAlignment="1">
      <alignment horizontal="center" vertical="center" wrapText="1"/>
    </xf>
    <xf numFmtId="167" fontId="10" fillId="11" borderId="0" xfId="1" applyNumberFormat="1" applyFont="1" applyFill="1" applyBorder="1" applyAlignment="1">
      <alignment horizontal="right"/>
    </xf>
    <xf numFmtId="167" fontId="2" fillId="0" borderId="55" xfId="1" applyNumberFormat="1" applyFont="1" applyFill="1" applyBorder="1" applyAlignment="1">
      <alignment horizontal="center" vertical="top"/>
    </xf>
    <xf numFmtId="167" fontId="2" fillId="0" borderId="53" xfId="1" applyNumberFormat="1" applyFont="1" applyFill="1" applyBorder="1" applyAlignment="1">
      <alignment horizontal="center" vertical="top"/>
    </xf>
    <xf numFmtId="167" fontId="2" fillId="0" borderId="77" xfId="1" applyNumberFormat="1" applyFont="1" applyFill="1" applyBorder="1" applyAlignment="1">
      <alignment horizontal="center" vertical="top"/>
    </xf>
    <xf numFmtId="167" fontId="2" fillId="7" borderId="78" xfId="1" applyNumberFormat="1" applyFont="1" applyFill="1" applyBorder="1" applyAlignment="1">
      <alignment horizontal="center" vertical="center"/>
    </xf>
    <xf numFmtId="167" fontId="2" fillId="7" borderId="78" xfId="1" applyNumberFormat="1" applyFont="1" applyFill="1" applyBorder="1" applyAlignment="1">
      <alignment horizontal="center" vertical="top"/>
    </xf>
    <xf numFmtId="165" fontId="20" fillId="0" borderId="0" xfId="0" applyFont="1"/>
    <xf numFmtId="165" fontId="21" fillId="13" borderId="0" xfId="0" applyFont="1" applyFill="1" applyAlignment="1">
      <alignment vertical="center"/>
    </xf>
    <xf numFmtId="9" fontId="2" fillId="13" borderId="0" xfId="0" applyNumberFormat="1" applyFont="1" applyFill="1"/>
    <xf numFmtId="165" fontId="2" fillId="13" borderId="0" xfId="0" applyFont="1" applyFill="1"/>
    <xf numFmtId="167" fontId="2" fillId="13" borderId="0" xfId="1" applyNumberFormat="1" applyFont="1" applyFill="1" applyBorder="1" applyAlignment="1">
      <alignment horizontal="center" vertical="top"/>
    </xf>
    <xf numFmtId="165" fontId="13" fillId="0" borderId="0" xfId="0" applyFont="1"/>
    <xf numFmtId="165" fontId="7" fillId="6" borderId="23" xfId="0" applyFont="1" applyFill="1" applyBorder="1" applyAlignment="1">
      <alignment horizontal="centerContinuous" vertical="center" wrapText="1"/>
    </xf>
    <xf numFmtId="167" fontId="2" fillId="12" borderId="79" xfId="1" applyNumberFormat="1" applyFont="1" applyFill="1" applyBorder="1" applyAlignment="1">
      <alignment horizontal="center" vertical="center"/>
    </xf>
    <xf numFmtId="4" fontId="13" fillId="0" borderId="0" xfId="0" applyNumberFormat="1" applyFont="1"/>
    <xf numFmtId="167" fontId="13" fillId="0" borderId="0" xfId="1" applyNumberFormat="1" applyFont="1"/>
    <xf numFmtId="167" fontId="3" fillId="11" borderId="80" xfId="1" applyNumberFormat="1" applyFont="1" applyFill="1" applyBorder="1" applyAlignment="1">
      <alignment horizontal="left" vertical="center"/>
    </xf>
    <xf numFmtId="3" fontId="13" fillId="0" borderId="0" xfId="0" applyNumberFormat="1" applyFont="1"/>
    <xf numFmtId="165" fontId="7" fillId="3" borderId="2" xfId="0" applyFont="1" applyFill="1" applyBorder="1" applyAlignment="1">
      <alignment vertical="center"/>
    </xf>
    <xf numFmtId="165" fontId="7" fillId="3" borderId="2" xfId="0" applyFont="1" applyFill="1" applyBorder="1" applyAlignment="1">
      <alignment horizontal="center" vertical="center"/>
    </xf>
    <xf numFmtId="165" fontId="7" fillId="5" borderId="81" xfId="0" applyFont="1" applyFill="1" applyBorder="1" applyAlignment="1">
      <alignment horizontal="center" vertical="center"/>
    </xf>
    <xf numFmtId="165" fontId="7" fillId="5" borderId="55" xfId="0" applyFont="1" applyFill="1" applyBorder="1" applyAlignment="1">
      <alignment horizontal="center" vertical="center"/>
    </xf>
    <xf numFmtId="165" fontId="7" fillId="5" borderId="54" xfId="0" applyFont="1" applyFill="1" applyBorder="1" applyAlignment="1">
      <alignment horizontal="center" vertical="center"/>
    </xf>
    <xf numFmtId="165" fontId="7" fillId="5" borderId="56" xfId="0" applyFont="1" applyFill="1" applyBorder="1" applyAlignment="1">
      <alignment horizontal="center" vertical="center"/>
    </xf>
    <xf numFmtId="165" fontId="10" fillId="8" borderId="82" xfId="0" applyFont="1" applyFill="1" applyBorder="1" applyAlignment="1">
      <alignment horizontal="center" vertical="center"/>
    </xf>
    <xf numFmtId="167" fontId="2" fillId="12" borderId="83" xfId="1" applyNumberFormat="1" applyFont="1" applyFill="1" applyBorder="1" applyAlignment="1">
      <alignment horizontal="center" vertical="center"/>
    </xf>
    <xf numFmtId="9" fontId="13" fillId="0" borderId="84" xfId="2" applyFont="1" applyBorder="1" applyAlignment="1">
      <alignment horizontal="center" vertical="top"/>
    </xf>
    <xf numFmtId="165" fontId="10" fillId="8" borderId="85" xfId="0" applyFont="1" applyFill="1" applyBorder="1" applyAlignment="1">
      <alignment horizontal="center" vertical="center"/>
    </xf>
    <xf numFmtId="167" fontId="2" fillId="12" borderId="86" xfId="1" applyNumberFormat="1" applyFont="1" applyFill="1" applyBorder="1" applyAlignment="1">
      <alignment horizontal="center" vertical="center"/>
    </xf>
    <xf numFmtId="167" fontId="2" fillId="12" borderId="87" xfId="1" applyNumberFormat="1" applyFont="1" applyFill="1" applyBorder="1" applyAlignment="1">
      <alignment horizontal="center" vertical="center"/>
    </xf>
    <xf numFmtId="9" fontId="13" fillId="0" borderId="88" xfId="2" applyFont="1" applyBorder="1" applyAlignment="1">
      <alignment horizontal="center" vertical="top"/>
    </xf>
    <xf numFmtId="165" fontId="22" fillId="14" borderId="0" xfId="0" applyFont="1" applyFill="1"/>
    <xf numFmtId="165" fontId="11" fillId="0" borderId="91" xfId="0" applyFont="1" applyBorder="1" applyAlignment="1">
      <alignment horizontal="center" vertical="center"/>
    </xf>
    <xf numFmtId="167" fontId="0" fillId="0" borderId="0" xfId="0" applyNumberFormat="1"/>
    <xf numFmtId="165" fontId="12" fillId="0" borderId="92" xfId="0" applyFont="1" applyBorder="1" applyAlignment="1">
      <alignment horizontal="center" vertical="center"/>
    </xf>
    <xf numFmtId="165" fontId="12" fillId="0" borderId="93" xfId="0" applyFont="1" applyBorder="1" applyAlignment="1">
      <alignment horizontal="center" vertical="center"/>
    </xf>
    <xf numFmtId="0" fontId="0" fillId="0" borderId="0" xfId="0" applyNumberFormat="1"/>
    <xf numFmtId="165" fontId="7" fillId="6" borderId="36" xfId="0" applyFont="1" applyFill="1" applyBorder="1" applyAlignment="1">
      <alignment horizontal="center" vertical="center" wrapText="1"/>
    </xf>
    <xf numFmtId="165" fontId="7" fillId="6" borderId="37" xfId="0" applyFont="1" applyFill="1" applyBorder="1" applyAlignment="1">
      <alignment horizontal="center" vertical="center" wrapText="1"/>
    </xf>
    <xf numFmtId="165" fontId="7" fillId="3" borderId="1" xfId="0" applyFont="1" applyFill="1" applyBorder="1" applyAlignment="1">
      <alignment horizontal="center" vertical="center"/>
    </xf>
    <xf numFmtId="165" fontId="7" fillId="3" borderId="8" xfId="0" applyFont="1" applyFill="1" applyBorder="1" applyAlignment="1">
      <alignment horizontal="center" vertical="center"/>
    </xf>
    <xf numFmtId="165" fontId="7" fillId="3" borderId="16" xfId="0" applyFont="1" applyFill="1" applyBorder="1" applyAlignment="1">
      <alignment horizontal="center" vertical="center"/>
    </xf>
    <xf numFmtId="165" fontId="7" fillId="0" borderId="0" xfId="0" applyFont="1" applyAlignment="1">
      <alignment horizontal="center" vertical="center"/>
    </xf>
    <xf numFmtId="165" fontId="8" fillId="4" borderId="5" xfId="0" applyFont="1" applyFill="1" applyBorder="1" applyAlignment="1">
      <alignment horizontal="center"/>
    </xf>
    <xf numFmtId="165" fontId="8" fillId="4" borderId="6" xfId="0" applyFont="1" applyFill="1" applyBorder="1" applyAlignment="1">
      <alignment horizontal="center"/>
    </xf>
    <xf numFmtId="165" fontId="8" fillId="4" borderId="7" xfId="0" applyFont="1" applyFill="1" applyBorder="1" applyAlignment="1">
      <alignment horizontal="center"/>
    </xf>
    <xf numFmtId="165" fontId="7" fillId="5" borderId="22" xfId="0" applyFont="1" applyFill="1" applyBorder="1" applyAlignment="1">
      <alignment horizontal="center" wrapText="1"/>
    </xf>
    <xf numFmtId="165" fontId="7" fillId="5" borderId="22" xfId="0" applyFont="1" applyFill="1" applyBorder="1" applyAlignment="1">
      <alignment horizontal="center"/>
    </xf>
    <xf numFmtId="165" fontId="7" fillId="6" borderId="62" xfId="0" applyFont="1" applyFill="1" applyBorder="1" applyAlignment="1">
      <alignment horizontal="center" vertical="center" wrapText="1"/>
    </xf>
    <xf numFmtId="165" fontId="7" fillId="6" borderId="66" xfId="0" applyFont="1" applyFill="1" applyBorder="1" applyAlignment="1">
      <alignment horizontal="center" vertical="center" wrapText="1"/>
    </xf>
    <xf numFmtId="165" fontId="7" fillId="5" borderId="89" xfId="0" applyFont="1" applyFill="1" applyBorder="1" applyAlignment="1">
      <alignment horizontal="center" vertical="top"/>
    </xf>
    <xf numFmtId="165" fontId="7" fillId="5" borderId="90" xfId="0" applyFont="1" applyFill="1" applyBorder="1" applyAlignment="1">
      <alignment horizontal="center" vertical="top"/>
    </xf>
    <xf numFmtId="165" fontId="7" fillId="5" borderId="34" xfId="0" applyFont="1" applyFill="1" applyBorder="1" applyAlignment="1">
      <alignment horizontal="center" vertical="top"/>
    </xf>
    <xf numFmtId="165" fontId="7" fillId="5" borderId="91" xfId="0" applyFont="1" applyFill="1" applyBorder="1" applyAlignment="1">
      <alignment horizontal="center" vertical="top"/>
    </xf>
    <xf numFmtId="165" fontId="7" fillId="5" borderId="0" xfId="0" applyFont="1" applyFill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50"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C8-4406-957A-A96A6D7EDA96}"/>
              </c:ext>
            </c:extLst>
          </c:dPt>
          <c:dLbls>
            <c:dLbl>
              <c:idx val="0"/>
              <c:layout>
                <c:manualLayout>
                  <c:x val="0"/>
                  <c:y val="-4.67836257309941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C8-4406-957A-A96A6D7EDA96}"/>
                </c:ext>
              </c:extLst>
            </c:dLbl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C8-4406-957A-A96A6D7EDA96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GLK!$V$20:$Y$20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GLK!$V$21:$Y$21</c:f>
              <c:numCache>
                <c:formatCode>_(* #,##0_);_(* \(#,##0\);_(* "-"??_);_(@_)</c:formatCode>
                <c:ptCount val="4"/>
                <c:pt idx="0">
                  <c:v>124327.5</c:v>
                </c:pt>
                <c:pt idx="1">
                  <c:v>51088</c:v>
                </c:pt>
                <c:pt idx="3">
                  <c:v>333960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C8-4406-957A-A96A6D7E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GLK!$AR$53:$AR$57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22494.500000000004</c:v>
                </c:pt>
                <c:pt idx="4">
                  <c:v>16494.25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4-48FE-9771-0DA94D0D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1-405D-86BB-7EB62AFC4EC8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31-405D-86BB-7EB62AFC4EC8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GLK!$G$21:$J$21</c:f>
              <c:numCache>
                <c:formatCode>_(* #,##0_);_(* \(#,##0\);_(* "-"??_);_(@_)</c:formatCode>
                <c:ptCount val="4"/>
                <c:pt idx="0">
                  <c:v>7043</c:v>
                </c:pt>
                <c:pt idx="1">
                  <c:v>9923.25</c:v>
                </c:pt>
                <c:pt idx="3">
                  <c:v>40957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1-405D-86BB-7EB62AFC4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05-42F7-B27B-B4A673F040A7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05-42F7-B27B-B4A673F040A7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'[1]GLK-Performance Qtr-1 '!$C$21:$F$21</c:f>
              <c:strCache>
                <c:ptCount val="4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Q3'2026</c:v>
                </c:pt>
              </c:strCache>
            </c:strRef>
          </c:cat>
          <c:val>
            <c:numRef>
              <c:f>GLK!$L$21:$O$21</c:f>
              <c:numCache>
                <c:formatCode>_(* #,##0_);_(* \(#,##0\);_(* "-"??_);_(@_)</c:formatCode>
                <c:ptCount val="4"/>
                <c:pt idx="0">
                  <c:v>2318321.2200000002</c:v>
                </c:pt>
                <c:pt idx="1">
                  <c:v>2795658.7600000002</c:v>
                </c:pt>
                <c:pt idx="3">
                  <c:v>5646874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05-42F7-B27B-B4A673F04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E2-41A8-BA8B-EE6F7210989E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E2-41A8-BA8B-EE6F7210989E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GLK!$Q$21:$T$21</c:f>
              <c:numCache>
                <c:formatCode>_(* #,##0_);_(* \(#,##0\);_(* "-"??_);_(@_)</c:formatCode>
                <c:ptCount val="4"/>
                <c:pt idx="0">
                  <c:v>218850158.25133502</c:v>
                </c:pt>
                <c:pt idx="3">
                  <c:v>679893392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2-41A8-BA8B-EE6F72109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GLK!$AS$53:$AS$57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-16002.949999999993</c:v>
                </c:pt>
                <c:pt idx="4">
                  <c:v>-7146.4999999999991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3-4DB2-A229-17ED19FA1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GLK!$AT$53:$AT$57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-129.75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2-455D-9C8C-1BA49D586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GLK!$AU$53:$AU$57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4265665.3000000007</c:v>
                </c:pt>
                <c:pt idx="4">
                  <c:v>3163467.2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2-4CFF-97FD-13544F0D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GLK!$AV$53:$AV$57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-2233112.4000000004</c:v>
                </c:pt>
                <c:pt idx="4">
                  <c:v>-464992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A-461F-8C00-A8746930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GLK!$AW$53:$AW$57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285768.32000000001</c:v>
                </c:pt>
                <c:pt idx="4">
                  <c:v>97183.560000000012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0-42AE-857D-CAFF74BA4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GLK!$AX$53:$AX$57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2506.599999999999</c:v>
                </c:pt>
                <c:pt idx="4">
                  <c:v>1182.1000000000004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0-4BD7-B6AB-599C6A6E3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GLK!$AY$53:$AY$57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2488</c:v>
                </c:pt>
                <c:pt idx="4">
                  <c:v>980.3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A-40CA-B17C-256082F34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GLK!$B$19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0B-4D25-8318-FD67B76FDE48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0B-4D25-8318-FD67B76FDE48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GLK!$B$20:$E$20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GLK!$B$21:$E$21</c:f>
              <c:numCache>
                <c:formatCode>_(* #,##0_);_(* \(#,##0\);_(* "-"??_);_(@_)</c:formatCode>
                <c:ptCount val="4"/>
                <c:pt idx="0">
                  <c:v>22422.050000000007</c:v>
                </c:pt>
                <c:pt idx="1">
                  <c:v>16462.650000000001</c:v>
                </c:pt>
                <c:pt idx="3">
                  <c:v>71612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0B-4D25-8318-FD67B76FD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image" Target="../media/image2.png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image" Target="../media/image1.png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5079</xdr:colOff>
      <xdr:row>3</xdr:row>
      <xdr:rowOff>266700</xdr:rowOff>
    </xdr:from>
    <xdr:to>
      <xdr:col>26</xdr:col>
      <xdr:colOff>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D4792-8722-4850-BE12-24016C790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46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145FFD-661D-4D7E-8329-07142878B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6ADC40-B975-49C6-BFC7-C714EB559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489857</xdr:colOff>
      <xdr:row>13</xdr:row>
      <xdr:rowOff>50800</xdr:rowOff>
    </xdr:from>
    <xdr:to>
      <xdr:col>23</xdr:col>
      <xdr:colOff>285401</xdr:colOff>
      <xdr:row>14</xdr:row>
      <xdr:rowOff>6369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B78BF0-E864-43B9-9FC4-32B0BD55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22407" y="2686050"/>
          <a:ext cx="538494" cy="139719"/>
        </a:xfrm>
        <a:prstGeom prst="rect">
          <a:avLst/>
        </a:prstGeom>
      </xdr:spPr>
    </xdr:pic>
    <xdr:clientData/>
  </xdr:twoCellAnchor>
  <xdr:twoCellAnchor editAs="oneCell">
    <xdr:from>
      <xdr:col>24</xdr:col>
      <xdr:colOff>823686</xdr:colOff>
      <xdr:row>13</xdr:row>
      <xdr:rowOff>3628</xdr:rowOff>
    </xdr:from>
    <xdr:to>
      <xdr:col>25</xdr:col>
      <xdr:colOff>450257</xdr:colOff>
      <xdr:row>14</xdr:row>
      <xdr:rowOff>10457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904832-DFB5-4948-B92E-C102D53C9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365936" y="2638878"/>
          <a:ext cx="464771" cy="19097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16</xdr:col>
      <xdr:colOff>12700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C19D61-0578-46FD-B80B-453382B61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4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3917E8-DA90-4A94-963B-68A804C13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0</xdr:colOff>
      <xdr:row>5</xdr:row>
      <xdr:rowOff>0</xdr:rowOff>
    </xdr:from>
    <xdr:to>
      <xdr:col>48</xdr:col>
      <xdr:colOff>698500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C33DB4-2B81-4B31-B679-DEB56B2DF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0</xdr:colOff>
      <xdr:row>5</xdr:row>
      <xdr:rowOff>0</xdr:rowOff>
    </xdr:from>
    <xdr:to>
      <xdr:col>52</xdr:col>
      <xdr:colOff>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8F6E2B-DF44-4CB1-90CA-3C6C626E4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0</xdr:colOff>
      <xdr:row>5</xdr:row>
      <xdr:rowOff>0</xdr:rowOff>
    </xdr:from>
    <xdr:to>
      <xdr:col>54</xdr:col>
      <xdr:colOff>609600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F33024-FC8D-487E-975E-07846B02B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0</xdr:colOff>
      <xdr:row>5</xdr:row>
      <xdr:rowOff>0</xdr:rowOff>
    </xdr:from>
    <xdr:to>
      <xdr:col>58</xdr:col>
      <xdr:colOff>0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E57A6A-1986-4E17-8F2A-0634012E7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0</xdr:colOff>
      <xdr:row>5</xdr:row>
      <xdr:rowOff>0</xdr:rowOff>
    </xdr:from>
    <xdr:to>
      <xdr:col>61</xdr:col>
      <xdr:colOff>0</xdr:colOff>
      <xdr:row>16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490DC3-533E-4F0A-8C39-AF107D1BC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0</xdr:colOff>
      <xdr:row>5</xdr:row>
      <xdr:rowOff>0</xdr:rowOff>
    </xdr:from>
    <xdr:to>
      <xdr:col>64</xdr:col>
      <xdr:colOff>0</xdr:colOff>
      <xdr:row>16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73D7654-EC09-46B5-BF8E-2C5B4326B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0</xdr:colOff>
      <xdr:row>5</xdr:row>
      <xdr:rowOff>0</xdr:rowOff>
    </xdr:from>
    <xdr:to>
      <xdr:col>67</xdr:col>
      <xdr:colOff>0</xdr:colOff>
      <xdr:row>16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7FD6AAB-5DBF-429C-8F10-A02CCEDAA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5F204E-80F1-4974-992B-662E52F25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0.29191</cdr:x>
      <cdr:y>0.85299</cdr:y>
    </cdr:from>
    <cdr:to>
      <cdr:x>0.41648</cdr:x>
      <cdr:y>0.91405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82700" y="18632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0.78117</cdr:x>
      <cdr:y>0.84302</cdr:y>
    </cdr:from>
    <cdr:to>
      <cdr:x>0.88174</cdr:x>
      <cdr:y>0.92754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432629" y="18415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0.30312</cdr:x>
      <cdr:y>0.86462</cdr:y>
    </cdr:from>
    <cdr:to>
      <cdr:x>0.42522</cdr:x>
      <cdr:y>0.92567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0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58900" y="18886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0.78268</cdr:x>
      <cdr:y>0.85465</cdr:y>
    </cdr:from>
    <cdr:to>
      <cdr:x>0.88125</cdr:x>
      <cdr:y>0.93917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508829" y="18669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aid%20working\202608-WorkCell%20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NT"/>
      <sheetName val="LE"/>
      <sheetName val="KEY-B"/>
      <sheetName val="KEY-A"/>
      <sheetName val="GLK"/>
      <sheetName val="AUH"/>
      <sheetName val="DXB"/>
      <sheetName val="F-NE"/>
      <sheetName val="NBI"/>
      <sheetName val="GLK-Lead-Directors"/>
      <sheetName val="LE (2)"/>
      <sheetName val="Gov (2)"/>
      <sheetName val="SMS Mgmt"/>
      <sheetName val="Staff Weight"/>
      <sheetName val="_Calc Excel SMS Mgmt"/>
      <sheetName val="Channel Budget"/>
      <sheetName val="KPIs"/>
      <sheetName val="Refresh Data &amp; Send Email"/>
      <sheetName val="Staff Targets"/>
      <sheetName val="Rev"/>
      <sheetName val="DDOS_Target"/>
      <sheetName val="Sheet1"/>
      <sheetName val="Activation Churn Data"/>
      <sheetName val="Fixed Net MRC Data"/>
      <sheetName val="DDOS"/>
      <sheetName val="GLK-Performance Qtr-1 "/>
      <sheetName val="Previous Months Details"/>
      <sheetName val="202608-WorkCell Dashboard"/>
    </sheetNames>
    <sheetDataSet>
      <sheetData sheetId="0"/>
      <sheetData sheetId="1"/>
      <sheetData sheetId="2"/>
      <sheetData sheetId="3"/>
      <sheetData sheetId="4">
        <row r="19">
          <cell r="B19" t="str">
            <v>Actual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1">
          <cell r="C21">
            <v>46204</v>
          </cell>
          <cell r="D21">
            <v>46235</v>
          </cell>
          <cell r="E21">
            <v>46266</v>
          </cell>
          <cell r="F21" t="str">
            <v>Q3'2026</v>
          </cell>
        </row>
      </sheetData>
      <sheetData sheetId="26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VBANoobTheme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0400-EA61-4C0E-83BA-2E0670551A5D}">
  <sheetPr codeName="Sheet30">
    <tabColor theme="4"/>
    <pageSetUpPr autoPageBreaks="0"/>
  </sheetPr>
  <dimension ref="A1:ER144"/>
  <sheetViews>
    <sheetView showGridLines="0" tabSelected="1" topLeftCell="A13" zoomScale="60" zoomScaleNormal="60" workbookViewId="0">
      <selection activeCell="H34" sqref="H34"/>
    </sheetView>
  </sheetViews>
  <sheetFormatPr defaultColWidth="12.5546875" defaultRowHeight="13.8" x14ac:dyDescent="0.25"/>
  <cols>
    <col min="1" max="1" width="9.6640625" style="5" bestFit="1" customWidth="1"/>
    <col min="2" max="2" width="17.5546875" style="5" bestFit="1" customWidth="1"/>
    <col min="3" max="3" width="12.6640625" style="5" bestFit="1" customWidth="1"/>
    <col min="4" max="4" width="9.5546875" style="5" bestFit="1" customWidth="1"/>
    <col min="5" max="5" width="10.6640625" style="5" bestFit="1" customWidth="1"/>
    <col min="6" max="6" width="12.88671875" style="5" bestFit="1" customWidth="1"/>
    <col min="7" max="7" width="17.5546875" style="5" bestFit="1" customWidth="1"/>
    <col min="8" max="8" width="9.6640625" style="5" bestFit="1" customWidth="1"/>
    <col min="9" max="9" width="9.5546875" style="5" bestFit="1" customWidth="1"/>
    <col min="10" max="10" width="10.6640625" style="5" bestFit="1" customWidth="1"/>
    <col min="11" max="11" width="12.88671875" style="5" bestFit="1" customWidth="1"/>
    <col min="12" max="13" width="13.6640625" style="5" bestFit="1" customWidth="1"/>
    <col min="14" max="14" width="9.5546875" style="5" bestFit="1" customWidth="1"/>
    <col min="15" max="15" width="14" style="5" bestFit="1" customWidth="1"/>
    <col min="16" max="16" width="12.88671875" style="5" bestFit="1" customWidth="1"/>
    <col min="17" max="17" width="16" style="5" bestFit="1" customWidth="1"/>
    <col min="18" max="18" width="9.6640625" style="5" bestFit="1" customWidth="1"/>
    <col min="19" max="19" width="9.5546875" style="5" bestFit="1" customWidth="1"/>
    <col min="20" max="20" width="16.6640625" style="5" bestFit="1" customWidth="1"/>
    <col min="21" max="21" width="12.88671875" style="5" bestFit="1" customWidth="1"/>
    <col min="22" max="22" width="11.5546875" style="5" bestFit="1" customWidth="1"/>
    <col min="23" max="23" width="10.6640625" style="5" bestFit="1" customWidth="1"/>
    <col min="24" max="24" width="9.5546875" style="5" bestFit="1" customWidth="1"/>
    <col min="25" max="25" width="12" style="5" bestFit="1" customWidth="1"/>
    <col min="26" max="26" width="12.88671875" style="5" bestFit="1" customWidth="1"/>
    <col min="27" max="27" width="6" style="5" bestFit="1" customWidth="1"/>
    <col min="28" max="28" width="6.44140625" style="5" bestFit="1" customWidth="1"/>
    <col min="29" max="30" width="7.33203125" style="5" bestFit="1" customWidth="1"/>
    <col min="31" max="31" width="18.6640625" style="5" bestFit="1" customWidth="1"/>
    <col min="32" max="32" width="7.33203125" style="5" customWidth="1"/>
    <col min="33" max="33" width="10.109375" style="5" bestFit="1" customWidth="1"/>
    <col min="34" max="34" width="7.33203125" style="5" customWidth="1"/>
    <col min="35" max="37" width="12.5546875" style="5"/>
    <col min="38" max="38" width="9.6640625" style="5" bestFit="1" customWidth="1"/>
    <col min="39" max="39" width="23.6640625" style="5" bestFit="1" customWidth="1"/>
    <col min="40" max="40" width="17.109375" style="5" bestFit="1" customWidth="1"/>
    <col min="41" max="41" width="19.88671875" style="5" bestFit="1" customWidth="1"/>
    <col min="42" max="42" width="22.33203125" style="5" bestFit="1" customWidth="1"/>
    <col min="43" max="43" width="9.6640625" style="5" bestFit="1" customWidth="1"/>
    <col min="44" max="44" width="23.6640625" style="5" bestFit="1" customWidth="1"/>
    <col min="45" max="45" width="17.109375" style="5" bestFit="1" customWidth="1"/>
    <col min="46" max="46" width="19.88671875" style="5" bestFit="1" customWidth="1"/>
    <col min="47" max="47" width="22.33203125" style="5" bestFit="1" customWidth="1"/>
    <col min="48" max="48" width="15.88671875" style="5" bestFit="1" customWidth="1"/>
    <col min="49" max="49" width="32.109375" style="5" bestFit="1" customWidth="1"/>
    <col min="50" max="50" width="19.88671875" style="5" bestFit="1" customWidth="1"/>
    <col min="51" max="51" width="9.33203125" style="5" bestFit="1" customWidth="1"/>
    <col min="52" max="52" width="12.6640625" style="5" bestFit="1" customWidth="1"/>
    <col min="53" max="54" width="13.6640625" style="5" bestFit="1" customWidth="1"/>
    <col min="55" max="55" width="13.33203125" style="5" bestFit="1" customWidth="1"/>
    <col min="56" max="56" width="14.33203125" style="5" bestFit="1" customWidth="1"/>
    <col min="57" max="57" width="12.88671875" style="5" bestFit="1" customWidth="1"/>
    <col min="58" max="58" width="14.5546875" style="5" bestFit="1" customWidth="1"/>
    <col min="59" max="59" width="12" style="5" bestFit="1" customWidth="1"/>
    <col min="60" max="60" width="11.33203125" style="5" bestFit="1" customWidth="1"/>
    <col min="61" max="61" width="11.5546875" style="5" bestFit="1" customWidth="1"/>
    <col min="62" max="67" width="9.33203125" style="5" bestFit="1" customWidth="1"/>
    <col min="68" max="68" width="12.5546875" style="5"/>
    <col min="69" max="69" width="7.44140625" style="5" bestFit="1" customWidth="1"/>
    <col min="70" max="70" width="76.5546875" style="5" bestFit="1" customWidth="1"/>
    <col min="71" max="71" width="10.33203125" style="5" bestFit="1" customWidth="1"/>
    <col min="72" max="72" width="14.33203125" style="5" bestFit="1" customWidth="1"/>
    <col min="73" max="73" width="8.6640625" style="5" bestFit="1" customWidth="1"/>
    <col min="74" max="74" width="9.33203125" style="5" bestFit="1" customWidth="1"/>
    <col min="75" max="75" width="76.5546875" style="5" bestFit="1" customWidth="1"/>
    <col min="76" max="76" width="27.33203125" style="5" bestFit="1" customWidth="1"/>
    <col min="77" max="77" width="14.33203125" style="5" bestFit="1" customWidth="1"/>
    <col min="78" max="78" width="9" style="5" bestFit="1" customWidth="1"/>
    <col min="79" max="79" width="9.33203125" style="5" bestFit="1" customWidth="1"/>
    <col min="80" max="80" width="14.33203125" style="5" bestFit="1" customWidth="1"/>
    <col min="81" max="81" width="8.6640625" style="5" bestFit="1" customWidth="1"/>
    <col min="82" max="82" width="9.33203125" style="5" bestFit="1" customWidth="1"/>
    <col min="83" max="83" width="14.33203125" style="5" bestFit="1" customWidth="1"/>
    <col min="84" max="84" width="9" style="5" bestFit="1" customWidth="1"/>
    <col min="85" max="85" width="10.33203125" style="5" bestFit="1" customWidth="1"/>
    <col min="86" max="86" width="12.5546875" style="5"/>
    <col min="87" max="87" width="9" style="5" bestFit="1" customWidth="1"/>
    <col min="88" max="88" width="10.33203125" style="5" bestFit="1" customWidth="1"/>
    <col min="89" max="96" width="12.5546875" style="5"/>
    <col min="97" max="97" width="9.33203125" style="5" bestFit="1" customWidth="1"/>
    <col min="98" max="98" width="33.109375" style="5" bestFit="1" customWidth="1"/>
    <col min="99" max="100" width="8.6640625" style="5" bestFit="1" customWidth="1"/>
    <col min="101" max="101" width="7.5546875" style="5" bestFit="1" customWidth="1"/>
    <col min="102" max="102" width="9.33203125" style="5" bestFit="1" customWidth="1"/>
    <col min="103" max="103" width="33.109375" style="5" bestFit="1" customWidth="1"/>
    <col min="104" max="105" width="7" style="5" bestFit="1" customWidth="1"/>
    <col min="106" max="107" width="7.33203125" style="5" bestFit="1" customWidth="1"/>
    <col min="108" max="108" width="18.6640625" style="5" bestFit="1" customWidth="1"/>
    <col min="109" max="110" width="7" style="5" bestFit="1" customWidth="1"/>
    <col min="111" max="112" width="7.33203125" style="5" bestFit="1" customWidth="1"/>
    <col min="113" max="113" width="18.6640625" style="5" bestFit="1" customWidth="1"/>
    <col min="114" max="115" width="8.6640625" style="5" bestFit="1" customWidth="1"/>
    <col min="116" max="116" width="9.33203125" style="5" bestFit="1" customWidth="1"/>
    <col min="117" max="117" width="33.109375" style="5" bestFit="1" customWidth="1"/>
    <col min="118" max="119" width="7" style="5" bestFit="1" customWidth="1"/>
    <col min="120" max="121" width="7.33203125" style="5" bestFit="1" customWidth="1"/>
    <col min="122" max="122" width="18.6640625" style="5" bestFit="1" customWidth="1"/>
    <col min="123" max="124" width="7" style="5" bestFit="1" customWidth="1"/>
    <col min="125" max="126" width="7.33203125" style="5" bestFit="1" customWidth="1"/>
    <col min="127" max="127" width="18.6640625" style="5" bestFit="1" customWidth="1"/>
    <col min="128" max="128" width="4.44140625" style="5" hidden="1" customWidth="1"/>
    <col min="129" max="129" width="18.44140625" style="5" hidden="1" customWidth="1"/>
    <col min="130" max="130" width="17.109375" style="5" bestFit="1" customWidth="1"/>
    <col min="131" max="131" width="17.5546875" style="5" bestFit="1" customWidth="1"/>
    <col min="132" max="133" width="4.5546875" style="5" hidden="1" customWidth="1"/>
    <col min="134" max="134" width="17.109375" style="5" hidden="1" customWidth="1"/>
    <col min="135" max="135" width="0" style="5" hidden="1" customWidth="1"/>
    <col min="136" max="136" width="32" style="5" bestFit="1" customWidth="1"/>
    <col min="137" max="137" width="29.5546875" style="5" bestFit="1" customWidth="1"/>
    <col min="138" max="138" width="6" style="5" bestFit="1" customWidth="1"/>
    <col min="139" max="139" width="7" style="5" bestFit="1" customWidth="1"/>
    <col min="140" max="140" width="7.33203125" style="5" bestFit="1" customWidth="1"/>
    <col min="141" max="141" width="20.6640625" style="5" bestFit="1" customWidth="1"/>
    <col min="142" max="142" width="7.33203125" style="5" bestFit="1" customWidth="1"/>
    <col min="143" max="146" width="12" style="5" bestFit="1" customWidth="1"/>
    <col min="147" max="16384" width="12.5546875" style="5"/>
  </cols>
  <sheetData>
    <row r="1" spans="1:148" ht="14.4" customHeight="1" thickBot="1" x14ac:dyDescent="0.3">
      <c r="A1" s="1" t="s">
        <v>0</v>
      </c>
      <c r="B1" s="2" t="s">
        <v>1</v>
      </c>
      <c r="C1" s="3">
        <v>46256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4">
        <v>42151.29490909091</v>
      </c>
      <c r="AA1" s="4">
        <v>1728225.4152727274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U1" s="6"/>
      <c r="BO1" s="7"/>
      <c r="BQ1" s="6"/>
    </row>
    <row r="2" spans="1:148" ht="15" thickTop="1" thickBot="1" x14ac:dyDescent="0.3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U2" s="6"/>
      <c r="BO2" s="7"/>
      <c r="BQ2" s="6"/>
      <c r="CY2" s="8" t="s">
        <v>2</v>
      </c>
      <c r="CZ2" s="9" t="s">
        <v>3</v>
      </c>
      <c r="DA2" s="10"/>
      <c r="DB2" s="10"/>
      <c r="DC2" s="10"/>
      <c r="DD2" s="11"/>
      <c r="DE2" s="11"/>
      <c r="DF2" s="11"/>
      <c r="DG2" s="11"/>
      <c r="DH2" s="11"/>
      <c r="DI2" s="11"/>
      <c r="DM2" s="8" t="s">
        <v>2</v>
      </c>
      <c r="DN2" s="9" t="s">
        <v>3</v>
      </c>
      <c r="DO2" s="10"/>
      <c r="DP2" s="10"/>
      <c r="DQ2" s="10"/>
      <c r="DR2" s="11"/>
      <c r="DS2" s="11"/>
      <c r="DT2" s="11"/>
      <c r="DU2" s="11"/>
      <c r="DV2" s="11"/>
      <c r="DW2" s="11"/>
    </row>
    <row r="3" spans="1:148" ht="15.6" customHeight="1" thickTop="1" thickBot="1" x14ac:dyDescent="0.35">
      <c r="A3" s="1"/>
      <c r="B3" s="183" t="s">
        <v>4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5"/>
      <c r="AA3" s="1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3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V3" s="7"/>
      <c r="BX3" s="6"/>
      <c r="CY3" s="14"/>
      <c r="CZ3" s="15" t="s">
        <v>5</v>
      </c>
      <c r="DA3" s="16"/>
      <c r="DB3" s="17"/>
      <c r="DC3" s="17"/>
      <c r="DD3" s="17"/>
      <c r="DE3" s="18" t="s">
        <v>6</v>
      </c>
      <c r="DF3" s="19"/>
      <c r="DG3" s="20"/>
      <c r="DH3" s="20"/>
      <c r="DI3" s="20"/>
      <c r="DM3" s="14"/>
      <c r="DN3" s="15" t="s">
        <v>5</v>
      </c>
      <c r="DO3" s="16"/>
      <c r="DP3" s="17"/>
      <c r="DQ3" s="17"/>
      <c r="DR3" s="17"/>
      <c r="DS3" s="18" t="s">
        <v>6</v>
      </c>
      <c r="DT3" s="19"/>
      <c r="DU3" s="20"/>
      <c r="DV3" s="20"/>
      <c r="DW3" s="20"/>
      <c r="EL3" s="8" t="s">
        <v>7</v>
      </c>
      <c r="EM3" s="9" t="s">
        <v>3</v>
      </c>
      <c r="EN3" s="10"/>
      <c r="EO3" s="10"/>
      <c r="EP3" s="10"/>
      <c r="EQ3" s="11"/>
    </row>
    <row r="4" spans="1:148" ht="21.6" thickTop="1" thickBot="1" x14ac:dyDescent="0.3">
      <c r="A4" s="1"/>
      <c r="B4" s="21" t="s">
        <v>8</v>
      </c>
      <c r="C4" s="22"/>
      <c r="D4" s="22"/>
      <c r="E4" s="22"/>
      <c r="F4" s="23"/>
      <c r="G4" s="21" t="s">
        <v>5</v>
      </c>
      <c r="H4" s="22"/>
      <c r="I4" s="22"/>
      <c r="J4" s="22"/>
      <c r="K4" s="23"/>
      <c r="L4" s="24" t="s">
        <v>6</v>
      </c>
      <c r="M4" s="22"/>
      <c r="N4" s="22"/>
      <c r="O4" s="22"/>
      <c r="P4" s="23"/>
      <c r="Q4" s="24" t="s">
        <v>53</v>
      </c>
      <c r="R4" s="22"/>
      <c r="S4" s="22"/>
      <c r="T4" s="22"/>
      <c r="U4" s="25"/>
      <c r="V4" s="24" t="s">
        <v>54</v>
      </c>
      <c r="W4" s="22"/>
      <c r="X4" s="22"/>
      <c r="Y4" s="22"/>
      <c r="Z4" s="25"/>
      <c r="AA4" s="1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3"/>
      <c r="AO4" s="1"/>
      <c r="AP4" s="1"/>
      <c r="AQ4" s="1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6"/>
      <c r="BV4" s="7"/>
      <c r="BX4" s="6"/>
      <c r="CY4" s="27"/>
      <c r="CZ4" s="28">
        <v>0</v>
      </c>
      <c r="DA4" s="29" t="s">
        <v>9</v>
      </c>
      <c r="DB4" s="29" t="s">
        <v>10</v>
      </c>
      <c r="DC4" s="30" t="s">
        <v>11</v>
      </c>
      <c r="DD4" s="31" t="s">
        <v>12</v>
      </c>
      <c r="DE4" s="28">
        <v>0</v>
      </c>
      <c r="DF4" s="29" t="s">
        <v>9</v>
      </c>
      <c r="DG4" s="29" t="s">
        <v>10</v>
      </c>
      <c r="DH4" s="30" t="s">
        <v>11</v>
      </c>
      <c r="DI4" s="31" t="s">
        <v>12</v>
      </c>
      <c r="DM4" s="27"/>
      <c r="DN4" s="28">
        <v>0</v>
      </c>
      <c r="DO4" s="29" t="s">
        <v>9</v>
      </c>
      <c r="DP4" s="29" t="s">
        <v>10</v>
      </c>
      <c r="DQ4" s="30" t="s">
        <v>11</v>
      </c>
      <c r="DR4" s="31" t="s">
        <v>12</v>
      </c>
      <c r="DS4" s="28">
        <v>0</v>
      </c>
      <c r="DT4" s="29" t="s">
        <v>9</v>
      </c>
      <c r="DU4" s="29" t="s">
        <v>10</v>
      </c>
      <c r="DV4" s="30" t="s">
        <v>11</v>
      </c>
      <c r="DW4" s="31" t="s">
        <v>12</v>
      </c>
      <c r="EL4" s="14"/>
      <c r="EM4" s="18" t="s">
        <v>6</v>
      </c>
      <c r="EN4" s="16"/>
      <c r="EO4" s="17"/>
      <c r="EP4" s="17"/>
      <c r="EQ4" s="17"/>
    </row>
    <row r="5" spans="1:148" ht="21" customHeight="1" thickTop="1" thickBot="1" x14ac:dyDescent="0.3">
      <c r="A5" s="32"/>
      <c r="B5" s="33"/>
      <c r="C5" s="32"/>
      <c r="D5" s="32"/>
      <c r="E5" s="32"/>
      <c r="F5" s="32"/>
      <c r="G5" s="33"/>
      <c r="H5" s="32"/>
      <c r="I5" s="32"/>
      <c r="J5" s="32"/>
      <c r="K5" s="32"/>
      <c r="U5" s="34"/>
      <c r="Z5" s="34"/>
      <c r="AA5" s="1"/>
      <c r="AB5" s="1"/>
      <c r="AC5" s="2"/>
      <c r="AD5" s="2"/>
      <c r="AE5" s="12">
        <v>0</v>
      </c>
      <c r="AF5" s="12"/>
      <c r="AG5" s="2"/>
      <c r="AH5" s="2"/>
      <c r="AI5" s="2"/>
      <c r="AJ5" s="2"/>
      <c r="AK5" s="2"/>
      <c r="AL5" s="2"/>
      <c r="AM5" s="2"/>
      <c r="AN5" s="13"/>
      <c r="AO5" s="2"/>
      <c r="AP5" s="2"/>
      <c r="AQ5" s="2"/>
      <c r="AR5" s="35" t="s">
        <v>8</v>
      </c>
      <c r="AS5" s="36"/>
      <c r="AT5" s="37"/>
      <c r="AU5" s="35" t="s">
        <v>13</v>
      </c>
      <c r="AV5" s="36"/>
      <c r="AW5" s="37"/>
      <c r="AX5" s="35" t="s">
        <v>14</v>
      </c>
      <c r="AY5" s="36"/>
      <c r="AZ5" s="37"/>
      <c r="BA5" s="35" t="s">
        <v>15</v>
      </c>
      <c r="BB5" s="36"/>
      <c r="BC5" s="37"/>
      <c r="BD5" s="35" t="s">
        <v>16</v>
      </c>
      <c r="BE5" s="36"/>
      <c r="BF5" s="37"/>
      <c r="BG5" s="35" t="s">
        <v>17</v>
      </c>
      <c r="BH5" s="36"/>
      <c r="BI5" s="37"/>
      <c r="BJ5" s="35" t="s">
        <v>18</v>
      </c>
      <c r="BK5" s="36"/>
      <c r="BL5" s="37"/>
      <c r="BM5" s="35" t="s">
        <v>19</v>
      </c>
      <c r="BN5" s="36"/>
      <c r="BO5" s="37"/>
      <c r="BV5" s="7"/>
      <c r="BX5" s="6"/>
      <c r="CW5" s="38">
        <v>0</v>
      </c>
      <c r="CX5" s="39" t="s">
        <v>20</v>
      </c>
      <c r="CY5" s="40">
        <v>0</v>
      </c>
      <c r="CZ5" s="40">
        <v>0</v>
      </c>
      <c r="DA5" s="41">
        <v>0</v>
      </c>
      <c r="DB5" s="41">
        <v>0</v>
      </c>
      <c r="DC5" s="42">
        <v>0</v>
      </c>
      <c r="DD5" s="43">
        <v>0</v>
      </c>
      <c r="DE5" s="40">
        <v>0</v>
      </c>
      <c r="DF5" s="41">
        <v>0</v>
      </c>
      <c r="DG5" s="41">
        <v>0</v>
      </c>
      <c r="DH5" s="42">
        <v>0</v>
      </c>
      <c r="DI5" s="44">
        <v>0</v>
      </c>
      <c r="DL5" s="39" t="s">
        <v>20</v>
      </c>
      <c r="DM5" s="40">
        <v>0</v>
      </c>
      <c r="DN5" s="40">
        <v>0</v>
      </c>
      <c r="DO5" s="41">
        <v>0</v>
      </c>
      <c r="DP5" s="41">
        <v>0</v>
      </c>
      <c r="DQ5" s="42">
        <v>0</v>
      </c>
      <c r="DR5" s="43">
        <v>0</v>
      </c>
      <c r="DS5" s="40">
        <v>0</v>
      </c>
      <c r="DT5" s="41">
        <v>0</v>
      </c>
      <c r="DU5" s="41">
        <v>0</v>
      </c>
      <c r="DV5" s="42">
        <v>0</v>
      </c>
      <c r="DW5" s="44">
        <v>0</v>
      </c>
      <c r="EF5" s="45" t="s">
        <v>21</v>
      </c>
      <c r="EG5" s="5" t="e">
        <v>#N/A</v>
      </c>
      <c r="EL5" s="27"/>
      <c r="EM5" s="28">
        <v>0</v>
      </c>
      <c r="EN5" s="29" t="s">
        <v>9</v>
      </c>
      <c r="EO5" s="29" t="s">
        <v>10</v>
      </c>
      <c r="EP5" s="30" t="s">
        <v>11</v>
      </c>
    </row>
    <row r="6" spans="1:148" ht="18" thickTop="1" x14ac:dyDescent="0.3">
      <c r="B6" s="46"/>
      <c r="G6" s="46"/>
      <c r="U6" s="34"/>
      <c r="Z6" s="34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13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V6" s="47"/>
      <c r="BX6" s="48" t="s">
        <v>22</v>
      </c>
      <c r="CX6" s="39"/>
      <c r="CY6" s="49">
        <v>0</v>
      </c>
      <c r="CZ6" s="40">
        <v>0</v>
      </c>
      <c r="DA6" s="41">
        <v>0</v>
      </c>
      <c r="DB6" s="41">
        <v>0</v>
      </c>
      <c r="DC6" s="42">
        <v>0</v>
      </c>
      <c r="DD6" s="50">
        <v>0</v>
      </c>
      <c r="DE6" s="51">
        <v>0</v>
      </c>
      <c r="DF6" s="52">
        <v>0</v>
      </c>
      <c r="DG6" s="52">
        <v>0</v>
      </c>
      <c r="DH6" s="53">
        <v>0</v>
      </c>
      <c r="DI6" s="54">
        <v>0</v>
      </c>
      <c r="DL6" s="39"/>
      <c r="DM6" s="49">
        <v>0</v>
      </c>
      <c r="DN6" s="51">
        <v>0</v>
      </c>
      <c r="DO6" s="52">
        <v>0</v>
      </c>
      <c r="DP6" s="52">
        <v>0</v>
      </c>
      <c r="DQ6" s="53">
        <v>0</v>
      </c>
      <c r="DR6" s="50">
        <v>0</v>
      </c>
      <c r="DS6" s="51">
        <v>0</v>
      </c>
      <c r="DT6" s="52">
        <v>0</v>
      </c>
      <c r="DU6" s="52">
        <v>0</v>
      </c>
      <c r="DV6" s="53">
        <v>0</v>
      </c>
      <c r="DW6" s="54">
        <v>0</v>
      </c>
      <c r="EA6"/>
      <c r="EB6"/>
      <c r="EC6"/>
      <c r="ED6"/>
      <c r="EE6"/>
      <c r="EF6" s="55" t="s">
        <v>23</v>
      </c>
      <c r="EG6" s="5" t="e">
        <v>#N/A</v>
      </c>
      <c r="EH6"/>
      <c r="EI6"/>
      <c r="EK6" s="186" t="s">
        <v>5</v>
      </c>
      <c r="EL6" s="56">
        <v>0</v>
      </c>
      <c r="EM6" s="41" t="e">
        <v>#VALUE!</v>
      </c>
      <c r="EN6" s="41" t="e">
        <v>#VALUE!</v>
      </c>
      <c r="EO6" s="41" t="e">
        <v>#VALUE!</v>
      </c>
      <c r="EP6" s="41" t="e">
        <v>#VALUE!</v>
      </c>
      <c r="ER6" s="38"/>
    </row>
    <row r="7" spans="1:148" ht="14.4" x14ac:dyDescent="0.3">
      <c r="B7" s="46"/>
      <c r="G7" s="46"/>
      <c r="U7" s="34"/>
      <c r="Z7" s="34"/>
      <c r="AN7" s="13"/>
      <c r="BV7" s="47"/>
      <c r="BW7" s="57" t="s">
        <v>24</v>
      </c>
      <c r="CX7" s="39"/>
      <c r="CY7" s="49">
        <v>0</v>
      </c>
      <c r="CZ7" s="40">
        <v>0</v>
      </c>
      <c r="DA7" s="41">
        <v>0</v>
      </c>
      <c r="DB7" s="41">
        <v>0</v>
      </c>
      <c r="DC7" s="42">
        <v>0</v>
      </c>
      <c r="DD7" s="50">
        <v>0</v>
      </c>
      <c r="DE7" s="51">
        <v>0</v>
      </c>
      <c r="DF7" s="52">
        <v>0</v>
      </c>
      <c r="DG7" s="52">
        <v>0</v>
      </c>
      <c r="DH7" s="53">
        <v>0</v>
      </c>
      <c r="DI7" s="54">
        <v>0</v>
      </c>
      <c r="DL7" s="39"/>
      <c r="DM7" s="49">
        <v>0</v>
      </c>
      <c r="DN7" s="51">
        <v>0</v>
      </c>
      <c r="DO7" s="52">
        <v>0</v>
      </c>
      <c r="DP7" s="52">
        <v>0</v>
      </c>
      <c r="DQ7" s="53">
        <v>0</v>
      </c>
      <c r="DR7" s="50">
        <v>0</v>
      </c>
      <c r="DS7" s="51">
        <v>0</v>
      </c>
      <c r="DT7" s="52">
        <v>0</v>
      </c>
      <c r="DU7" s="52">
        <v>0</v>
      </c>
      <c r="DV7" s="53">
        <v>0</v>
      </c>
      <c r="DW7" s="54">
        <v>0</v>
      </c>
      <c r="EA7"/>
      <c r="EB7"/>
      <c r="EC7"/>
      <c r="ED7"/>
      <c r="EE7"/>
      <c r="EF7" s="45" t="s">
        <v>25</v>
      </c>
      <c r="EG7" s="5" t="e">
        <v>#N/A</v>
      </c>
      <c r="EH7"/>
      <c r="EI7"/>
      <c r="EK7" s="187"/>
      <c r="EL7" s="58" t="s">
        <v>9</v>
      </c>
      <c r="EM7" s="51" t="e">
        <v>#VALUE!</v>
      </c>
      <c r="EN7" s="52" t="e">
        <v>#VALUE!</v>
      </c>
      <c r="EO7" s="52" t="e">
        <v>#VALUE!</v>
      </c>
      <c r="EP7" s="53" t="e">
        <v>#VALUE!</v>
      </c>
      <c r="ER7" s="38"/>
    </row>
    <row r="8" spans="1:148" ht="14.4" x14ac:dyDescent="0.3">
      <c r="B8" s="46"/>
      <c r="G8" s="46"/>
      <c r="U8" s="34"/>
      <c r="Z8" s="34"/>
      <c r="AN8" s="13"/>
      <c r="BA8" s="1"/>
      <c r="BV8" s="47"/>
      <c r="CX8" s="39"/>
      <c r="CY8" s="49">
        <v>0</v>
      </c>
      <c r="CZ8" s="40">
        <v>0</v>
      </c>
      <c r="DA8" s="41">
        <v>0</v>
      </c>
      <c r="DB8" s="41">
        <v>0</v>
      </c>
      <c r="DC8" s="42">
        <v>0</v>
      </c>
      <c r="DD8" s="50">
        <v>0</v>
      </c>
      <c r="DE8" s="51">
        <v>0</v>
      </c>
      <c r="DF8" s="52">
        <v>0</v>
      </c>
      <c r="DG8" s="52">
        <v>0</v>
      </c>
      <c r="DH8" s="53">
        <v>0</v>
      </c>
      <c r="DI8" s="54">
        <v>0</v>
      </c>
      <c r="DL8" s="39"/>
      <c r="DM8" s="49">
        <v>0</v>
      </c>
      <c r="DN8" s="51">
        <v>0</v>
      </c>
      <c r="DO8" s="52">
        <v>0</v>
      </c>
      <c r="DP8" s="52">
        <v>0</v>
      </c>
      <c r="DQ8" s="53">
        <v>0</v>
      </c>
      <c r="DR8" s="50">
        <v>0</v>
      </c>
      <c r="DS8" s="51">
        <v>0</v>
      </c>
      <c r="DT8" s="52">
        <v>0</v>
      </c>
      <c r="DU8" s="52">
        <v>0</v>
      </c>
      <c r="DV8" s="53">
        <v>0</v>
      </c>
      <c r="DW8" s="54">
        <v>0</v>
      </c>
      <c r="EA8"/>
      <c r="EB8"/>
      <c r="EC8"/>
      <c r="ED8"/>
      <c r="EE8"/>
      <c r="EF8" s="55" t="s">
        <v>26</v>
      </c>
      <c r="EG8" s="5" t="e">
        <v>#N/A</v>
      </c>
      <c r="EH8"/>
      <c r="EI8"/>
      <c r="EK8" s="187"/>
      <c r="EL8" s="58" t="s">
        <v>10</v>
      </c>
      <c r="EM8" s="51" t="e">
        <v>#VALUE!</v>
      </c>
      <c r="EN8" s="52" t="e">
        <v>#VALUE!</v>
      </c>
      <c r="EO8" s="52" t="e">
        <v>#VALUE!</v>
      </c>
      <c r="EP8" s="53" t="e">
        <v>#VALUE!</v>
      </c>
      <c r="ER8" s="38"/>
    </row>
    <row r="9" spans="1:148" ht="14.4" x14ac:dyDescent="0.3">
      <c r="B9" s="46"/>
      <c r="G9" s="46"/>
      <c r="U9" s="34"/>
      <c r="Z9" s="34"/>
      <c r="AN9" s="13"/>
      <c r="BV9" s="47"/>
      <c r="BY9" s="177" t="s">
        <v>8</v>
      </c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X9" s="39"/>
      <c r="CY9" s="59">
        <v>0</v>
      </c>
      <c r="CZ9" s="40">
        <v>0</v>
      </c>
      <c r="DA9" s="41">
        <v>0</v>
      </c>
      <c r="DB9" s="41">
        <v>0</v>
      </c>
      <c r="DC9" s="42">
        <v>0</v>
      </c>
      <c r="DD9" s="50">
        <v>0</v>
      </c>
      <c r="DE9" s="51">
        <v>0</v>
      </c>
      <c r="DF9" s="52">
        <v>0</v>
      </c>
      <c r="DG9" s="52">
        <v>0</v>
      </c>
      <c r="DH9" s="53">
        <v>0</v>
      </c>
      <c r="DI9" s="54">
        <v>0</v>
      </c>
      <c r="DL9" s="39"/>
      <c r="DM9" s="59">
        <v>0</v>
      </c>
      <c r="DN9" s="51">
        <v>0</v>
      </c>
      <c r="DO9" s="52">
        <v>0</v>
      </c>
      <c r="DP9" s="52">
        <v>0</v>
      </c>
      <c r="DQ9" s="53">
        <v>0</v>
      </c>
      <c r="DR9" s="50">
        <v>0</v>
      </c>
      <c r="DS9" s="51">
        <v>0</v>
      </c>
      <c r="DT9" s="52">
        <v>0</v>
      </c>
      <c r="DU9" s="52">
        <v>0</v>
      </c>
      <c r="DV9" s="53">
        <v>0</v>
      </c>
      <c r="DW9" s="54">
        <v>0</v>
      </c>
      <c r="EA9"/>
      <c r="EB9"/>
      <c r="EC9"/>
      <c r="ED9"/>
      <c r="EE9"/>
      <c r="EF9" s="45" t="s">
        <v>27</v>
      </c>
      <c r="EG9" s="5" t="e">
        <v>#N/A</v>
      </c>
      <c r="EH9"/>
      <c r="EI9"/>
      <c r="EK9" s="187"/>
      <c r="EL9" s="58" t="s">
        <v>11</v>
      </c>
      <c r="EM9" s="51">
        <v>0</v>
      </c>
      <c r="EN9" s="52">
        <v>0</v>
      </c>
      <c r="EO9" s="52">
        <v>0</v>
      </c>
      <c r="EP9" s="53">
        <v>0</v>
      </c>
      <c r="ER9" s="38"/>
    </row>
    <row r="10" spans="1:148" ht="15" thickBot="1" x14ac:dyDescent="0.35">
      <c r="B10" s="46"/>
      <c r="G10" s="46"/>
      <c r="U10" s="34"/>
      <c r="Z10" s="34"/>
      <c r="AN10" s="13"/>
      <c r="BV10" s="47"/>
      <c r="BY10" s="60" t="s">
        <v>28</v>
      </c>
      <c r="BZ10" s="60"/>
      <c r="CA10" s="60"/>
      <c r="CB10" s="60" t="s">
        <v>29</v>
      </c>
      <c r="CC10" s="60"/>
      <c r="CD10" s="60"/>
      <c r="CE10" s="60" t="s">
        <v>30</v>
      </c>
      <c r="CF10" s="60"/>
      <c r="CG10" s="60"/>
      <c r="CH10" s="60" t="s">
        <v>31</v>
      </c>
      <c r="CI10" s="60"/>
      <c r="CJ10" s="60"/>
      <c r="CX10" s="39"/>
      <c r="CY10" s="61">
        <v>0</v>
      </c>
      <c r="CZ10" s="40">
        <v>0</v>
      </c>
      <c r="DA10" s="41">
        <v>0</v>
      </c>
      <c r="DB10" s="41">
        <v>0</v>
      </c>
      <c r="DC10" s="42">
        <v>0</v>
      </c>
      <c r="DD10" s="62">
        <v>0</v>
      </c>
      <c r="DE10" s="63">
        <v>0</v>
      </c>
      <c r="DF10" s="64">
        <v>0</v>
      </c>
      <c r="DG10" s="64">
        <v>0</v>
      </c>
      <c r="DH10" s="65">
        <v>0</v>
      </c>
      <c r="DI10" s="66">
        <v>0</v>
      </c>
      <c r="DL10" s="39"/>
      <c r="DM10" s="61">
        <v>0</v>
      </c>
      <c r="DN10" s="63">
        <v>0</v>
      </c>
      <c r="DO10" s="64">
        <v>0</v>
      </c>
      <c r="DP10" s="64">
        <v>0</v>
      </c>
      <c r="DQ10" s="65">
        <v>0</v>
      </c>
      <c r="DR10" s="62">
        <v>0</v>
      </c>
      <c r="DS10" s="63">
        <v>0</v>
      </c>
      <c r="DT10" s="64">
        <v>0</v>
      </c>
      <c r="DU10" s="64">
        <v>0</v>
      </c>
      <c r="DV10" s="65">
        <v>0</v>
      </c>
      <c r="DW10" s="66">
        <v>0</v>
      </c>
      <c r="EA10"/>
      <c r="EB10"/>
      <c r="EC10"/>
      <c r="ED10"/>
      <c r="EE10"/>
      <c r="EF10" s="55" t="s">
        <v>32</v>
      </c>
      <c r="EG10" s="5" t="e">
        <v>#N/A</v>
      </c>
      <c r="EH10"/>
      <c r="EI10"/>
      <c r="EK10" s="67"/>
      <c r="ER10" s="38"/>
    </row>
    <row r="11" spans="1:148" ht="15.6" thickTop="1" thickBot="1" x14ac:dyDescent="0.35">
      <c r="B11" s="46"/>
      <c r="G11" s="46"/>
      <c r="U11" s="34"/>
      <c r="Z11" s="34"/>
      <c r="AN11" s="13"/>
      <c r="BV11" s="47"/>
      <c r="BX11" s="68" t="s">
        <v>33</v>
      </c>
      <c r="BY11" s="69" t="s">
        <v>34</v>
      </c>
      <c r="BZ11" s="70" t="s">
        <v>35</v>
      </c>
      <c r="CA11" s="70" t="s">
        <v>36</v>
      </c>
      <c r="CB11" s="70" t="s">
        <v>34</v>
      </c>
      <c r="CC11" s="70" t="s">
        <v>35</v>
      </c>
      <c r="CD11" s="70" t="s">
        <v>36</v>
      </c>
      <c r="CE11" s="70" t="s">
        <v>34</v>
      </c>
      <c r="CF11" s="70" t="s">
        <v>35</v>
      </c>
      <c r="CG11" s="70" t="s">
        <v>36</v>
      </c>
      <c r="CH11" s="70" t="s">
        <v>34</v>
      </c>
      <c r="CI11" s="70" t="s">
        <v>35</v>
      </c>
      <c r="CJ11" s="70" t="s">
        <v>36</v>
      </c>
      <c r="CX11" s="39"/>
      <c r="CY11" s="61">
        <v>0</v>
      </c>
      <c r="CZ11" s="40">
        <v>0</v>
      </c>
      <c r="DA11" s="41">
        <v>0</v>
      </c>
      <c r="DB11" s="41">
        <v>0</v>
      </c>
      <c r="DC11" s="42">
        <v>0</v>
      </c>
      <c r="DD11" s="62">
        <v>0</v>
      </c>
      <c r="DE11" s="63">
        <v>0</v>
      </c>
      <c r="DF11" s="64">
        <v>0</v>
      </c>
      <c r="DG11" s="64">
        <v>0</v>
      </c>
      <c r="DH11" s="65">
        <v>0</v>
      </c>
      <c r="DI11" s="66">
        <v>0</v>
      </c>
      <c r="DL11" s="39"/>
      <c r="DM11" s="61">
        <v>0</v>
      </c>
      <c r="DN11" s="63">
        <v>0</v>
      </c>
      <c r="DO11" s="64">
        <v>0</v>
      </c>
      <c r="DP11" s="64">
        <v>0</v>
      </c>
      <c r="DQ11" s="65">
        <v>0</v>
      </c>
      <c r="DR11" s="62">
        <v>0</v>
      </c>
      <c r="DS11" s="63">
        <v>0</v>
      </c>
      <c r="DT11" s="64">
        <v>0</v>
      </c>
      <c r="DU11" s="64">
        <v>0</v>
      </c>
      <c r="DV11" s="65">
        <v>0</v>
      </c>
      <c r="DW11" s="66">
        <v>0</v>
      </c>
      <c r="EA11"/>
      <c r="EB11"/>
      <c r="EC11"/>
      <c r="ED11"/>
      <c r="EE11"/>
      <c r="EF11" s="71" t="s">
        <v>37</v>
      </c>
      <c r="EG11" s="5" t="e">
        <v>#N/A</v>
      </c>
      <c r="EH11"/>
      <c r="EI11"/>
    </row>
    <row r="12" spans="1:148" ht="15" thickTop="1" x14ac:dyDescent="0.3">
      <c r="B12" s="46"/>
      <c r="G12" s="46"/>
      <c r="U12" s="34"/>
      <c r="Z12" s="34"/>
      <c r="AN12" s="13"/>
      <c r="BV12" s="47"/>
      <c r="BX12" s="72" t="s">
        <v>38</v>
      </c>
      <c r="BY12" s="73">
        <v>245</v>
      </c>
      <c r="BZ12" s="73">
        <v>530</v>
      </c>
      <c r="CA12" s="73">
        <v>775</v>
      </c>
      <c r="CB12" s="73">
        <v>10</v>
      </c>
      <c r="CC12" s="73">
        <v>0</v>
      </c>
      <c r="CD12" s="73">
        <v>10</v>
      </c>
      <c r="CE12" s="73">
        <v>506</v>
      </c>
      <c r="CF12" s="73">
        <v>0</v>
      </c>
      <c r="CG12" s="73">
        <v>506</v>
      </c>
      <c r="CH12" s="73">
        <v>761</v>
      </c>
      <c r="CI12" s="73">
        <v>530</v>
      </c>
      <c r="CJ12" s="73">
        <v>1291</v>
      </c>
      <c r="CK12" s="74"/>
      <c r="CW12" s="38">
        <v>0</v>
      </c>
      <c r="CX12" s="39" t="s">
        <v>39</v>
      </c>
      <c r="CY12" s="51">
        <v>0</v>
      </c>
      <c r="CZ12" s="40">
        <v>0</v>
      </c>
      <c r="DA12" s="41">
        <v>0</v>
      </c>
      <c r="DB12" s="41">
        <v>0</v>
      </c>
      <c r="DC12" s="42">
        <v>0</v>
      </c>
      <c r="DD12" s="44">
        <v>0</v>
      </c>
      <c r="DE12" s="40">
        <v>0</v>
      </c>
      <c r="DF12" s="41">
        <v>0</v>
      </c>
      <c r="DG12" s="41">
        <v>0</v>
      </c>
      <c r="DH12" s="42">
        <v>0</v>
      </c>
      <c r="DI12" s="44">
        <v>0</v>
      </c>
      <c r="DL12" s="39" t="s">
        <v>39</v>
      </c>
      <c r="DM12" s="51">
        <v>0</v>
      </c>
      <c r="DN12" s="40">
        <v>0</v>
      </c>
      <c r="DO12" s="41">
        <v>0</v>
      </c>
      <c r="DP12" s="41">
        <v>0</v>
      </c>
      <c r="DQ12" s="42">
        <v>0</v>
      </c>
      <c r="DR12" s="43">
        <v>0</v>
      </c>
      <c r="DS12" s="40">
        <v>0</v>
      </c>
      <c r="DT12" s="41">
        <v>0</v>
      </c>
      <c r="DU12" s="41">
        <v>0</v>
      </c>
      <c r="DV12" s="42">
        <v>0</v>
      </c>
      <c r="DW12" s="44">
        <v>0</v>
      </c>
      <c r="EA12"/>
      <c r="EB12"/>
      <c r="EC12"/>
      <c r="ED12"/>
      <c r="EE12"/>
      <c r="EF12" s="55" t="s">
        <v>40</v>
      </c>
      <c r="EG12" s="5" t="e">
        <v>#N/A</v>
      </c>
      <c r="EH12"/>
      <c r="EI12"/>
    </row>
    <row r="13" spans="1:148" ht="14.4" x14ac:dyDescent="0.3">
      <c r="B13" s="46"/>
      <c r="G13" s="46"/>
      <c r="U13" s="34"/>
      <c r="Z13" s="34"/>
      <c r="AN13" s="13"/>
      <c r="BV13" s="47"/>
      <c r="BX13" s="72" t="s">
        <v>41</v>
      </c>
      <c r="BY13" s="73">
        <v>0</v>
      </c>
      <c r="BZ13" s="73">
        <v>432</v>
      </c>
      <c r="CA13" s="73">
        <v>432</v>
      </c>
      <c r="CB13" s="73">
        <v>0</v>
      </c>
      <c r="CC13" s="73">
        <v>0</v>
      </c>
      <c r="CD13" s="73">
        <v>0</v>
      </c>
      <c r="CE13" s="73">
        <v>66</v>
      </c>
      <c r="CF13" s="73">
        <v>0</v>
      </c>
      <c r="CG13" s="73">
        <v>66</v>
      </c>
      <c r="CH13" s="73">
        <v>66</v>
      </c>
      <c r="CI13" s="73">
        <v>432</v>
      </c>
      <c r="CJ13" s="73">
        <v>498</v>
      </c>
      <c r="CK13" s="74"/>
      <c r="CX13" s="39"/>
      <c r="CY13" s="49">
        <v>0</v>
      </c>
      <c r="CZ13" s="51">
        <v>0</v>
      </c>
      <c r="DA13" s="52">
        <v>0</v>
      </c>
      <c r="DB13" s="52">
        <v>0</v>
      </c>
      <c r="DC13" s="53">
        <v>0</v>
      </c>
      <c r="DD13" s="50">
        <v>0</v>
      </c>
      <c r="DE13" s="51">
        <v>0</v>
      </c>
      <c r="DF13" s="52">
        <v>0</v>
      </c>
      <c r="DG13" s="52">
        <v>0</v>
      </c>
      <c r="DH13" s="53">
        <v>0</v>
      </c>
      <c r="DI13" s="54">
        <v>0</v>
      </c>
      <c r="DL13" s="39"/>
      <c r="DM13" s="49">
        <v>0</v>
      </c>
      <c r="DN13" s="51">
        <v>0</v>
      </c>
      <c r="DO13" s="52">
        <v>0</v>
      </c>
      <c r="DP13" s="52">
        <v>0</v>
      </c>
      <c r="DQ13" s="53">
        <v>0</v>
      </c>
      <c r="DR13" s="50">
        <v>0</v>
      </c>
      <c r="DS13" s="51">
        <v>0</v>
      </c>
      <c r="DT13" s="52">
        <v>0</v>
      </c>
      <c r="DU13" s="52">
        <v>0</v>
      </c>
      <c r="DV13" s="53">
        <v>0</v>
      </c>
      <c r="DW13" s="54">
        <v>0</v>
      </c>
      <c r="EA13"/>
      <c r="EB13"/>
      <c r="EC13"/>
      <c r="ED13"/>
      <c r="EE13"/>
      <c r="EF13" s="45" t="s">
        <v>42</v>
      </c>
      <c r="EG13" s="5" t="e">
        <v>#N/A</v>
      </c>
      <c r="EH13"/>
      <c r="EI13"/>
    </row>
    <row r="14" spans="1:148" ht="14.4" x14ac:dyDescent="0.3">
      <c r="B14" s="46"/>
      <c r="G14" s="46"/>
      <c r="U14" s="34"/>
      <c r="Z14" s="34"/>
      <c r="AN14" s="13"/>
      <c r="BV14" s="47"/>
      <c r="BX14" s="72" t="s">
        <v>43</v>
      </c>
      <c r="BY14" s="73">
        <v>58</v>
      </c>
      <c r="BZ14" s="73">
        <v>1100</v>
      </c>
      <c r="CA14" s="73">
        <v>1158</v>
      </c>
      <c r="CB14" s="73">
        <v>1</v>
      </c>
      <c r="CC14" s="73">
        <v>0</v>
      </c>
      <c r="CD14" s="73">
        <v>1</v>
      </c>
      <c r="CE14" s="73">
        <v>94</v>
      </c>
      <c r="CF14" s="73">
        <v>0</v>
      </c>
      <c r="CG14" s="73">
        <v>94</v>
      </c>
      <c r="CH14" s="73">
        <v>153</v>
      </c>
      <c r="CI14" s="73">
        <v>1100</v>
      </c>
      <c r="CJ14" s="73">
        <v>1253</v>
      </c>
      <c r="CK14" s="74"/>
      <c r="CX14" s="39"/>
      <c r="CY14" s="49">
        <v>0</v>
      </c>
      <c r="CZ14" s="51">
        <v>0</v>
      </c>
      <c r="DA14" s="52">
        <v>0</v>
      </c>
      <c r="DB14" s="52">
        <v>0</v>
      </c>
      <c r="DC14" s="53">
        <v>0</v>
      </c>
      <c r="DD14" s="50">
        <v>0</v>
      </c>
      <c r="DE14" s="51">
        <v>0</v>
      </c>
      <c r="DF14" s="52">
        <v>0</v>
      </c>
      <c r="DG14" s="52">
        <v>0</v>
      </c>
      <c r="DH14" s="53">
        <v>0</v>
      </c>
      <c r="DI14" s="54">
        <v>0</v>
      </c>
      <c r="DL14" s="39"/>
      <c r="DM14" s="49">
        <v>0</v>
      </c>
      <c r="DN14" s="51">
        <v>0</v>
      </c>
      <c r="DO14" s="52">
        <v>0</v>
      </c>
      <c r="DP14" s="52">
        <v>0</v>
      </c>
      <c r="DQ14" s="53">
        <v>0</v>
      </c>
      <c r="DR14" s="50">
        <v>0</v>
      </c>
      <c r="DS14" s="51">
        <v>0</v>
      </c>
      <c r="DT14" s="52">
        <v>0</v>
      </c>
      <c r="DU14" s="52">
        <v>0</v>
      </c>
      <c r="DV14" s="53">
        <v>0</v>
      </c>
      <c r="DW14" s="54">
        <v>0</v>
      </c>
      <c r="EA14"/>
      <c r="EB14"/>
      <c r="EC14"/>
      <c r="ED14"/>
      <c r="EE14"/>
      <c r="EF14" s="55" t="s">
        <v>44</v>
      </c>
      <c r="EG14" s="5" t="e">
        <v>#N/A</v>
      </c>
      <c r="EH14"/>
      <c r="EI14"/>
    </row>
    <row r="15" spans="1:148" ht="15" thickBot="1" x14ac:dyDescent="0.35">
      <c r="B15" s="75"/>
      <c r="C15" s="76"/>
      <c r="D15" s="76"/>
      <c r="E15" s="76"/>
      <c r="F15" s="76"/>
      <c r="G15" s="75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7"/>
      <c r="V15" s="75"/>
      <c r="W15" s="76"/>
      <c r="X15" s="76"/>
      <c r="Y15" s="76"/>
      <c r="Z15" s="77"/>
      <c r="AN15" s="13"/>
      <c r="BV15" s="47"/>
      <c r="BX15" s="72" t="s">
        <v>45</v>
      </c>
      <c r="BY15" s="73">
        <v>283</v>
      </c>
      <c r="BZ15" s="73">
        <v>44</v>
      </c>
      <c r="CA15" s="73">
        <v>327</v>
      </c>
      <c r="CB15" s="73">
        <v>60</v>
      </c>
      <c r="CC15" s="73">
        <v>0</v>
      </c>
      <c r="CD15" s="73">
        <v>60</v>
      </c>
      <c r="CE15" s="73">
        <v>0</v>
      </c>
      <c r="CF15" s="73">
        <v>0</v>
      </c>
      <c r="CG15" s="73">
        <v>0</v>
      </c>
      <c r="CH15" s="73">
        <v>343</v>
      </c>
      <c r="CI15" s="73">
        <v>44</v>
      </c>
      <c r="CJ15" s="73">
        <v>387</v>
      </c>
      <c r="CK15" s="74"/>
      <c r="CX15" s="39"/>
      <c r="CY15" s="49">
        <v>0</v>
      </c>
      <c r="CZ15" s="51">
        <v>0</v>
      </c>
      <c r="DA15" s="52">
        <v>0</v>
      </c>
      <c r="DB15" s="52">
        <v>0</v>
      </c>
      <c r="DC15" s="53">
        <v>0</v>
      </c>
      <c r="DD15" s="50">
        <v>0</v>
      </c>
      <c r="DE15" s="51">
        <v>0</v>
      </c>
      <c r="DF15" s="52">
        <v>0</v>
      </c>
      <c r="DG15" s="52">
        <v>0</v>
      </c>
      <c r="DH15" s="53">
        <v>0</v>
      </c>
      <c r="DI15" s="54">
        <v>0</v>
      </c>
      <c r="DL15" s="39"/>
      <c r="DM15" s="49">
        <v>0</v>
      </c>
      <c r="DN15" s="51">
        <v>0</v>
      </c>
      <c r="DO15" s="52">
        <v>0</v>
      </c>
      <c r="DP15" s="52">
        <v>0</v>
      </c>
      <c r="DQ15" s="53">
        <v>0</v>
      </c>
      <c r="DR15" s="50">
        <v>0</v>
      </c>
      <c r="DS15" s="51">
        <v>0</v>
      </c>
      <c r="DT15" s="52">
        <v>0</v>
      </c>
      <c r="DU15" s="52">
        <v>0</v>
      </c>
      <c r="DV15" s="53">
        <v>0</v>
      </c>
      <c r="DW15" s="54">
        <v>0</v>
      </c>
      <c r="EA15"/>
      <c r="EB15"/>
      <c r="EC15"/>
      <c r="ED15"/>
      <c r="EE15"/>
      <c r="EF15" s="45" t="s">
        <v>46</v>
      </c>
      <c r="EG15" s="5" t="e">
        <v>#N/A</v>
      </c>
      <c r="EH15"/>
      <c r="EI15"/>
    </row>
    <row r="16" spans="1:148" ht="15" thickTop="1" x14ac:dyDescent="0.3">
      <c r="V16" s="1"/>
      <c r="AN16" s="13"/>
      <c r="BV16" s="47"/>
      <c r="BX16" s="72" t="s">
        <v>47</v>
      </c>
      <c r="BY16" s="73">
        <v>127</v>
      </c>
      <c r="BZ16" s="73">
        <v>11</v>
      </c>
      <c r="CA16" s="73">
        <v>138</v>
      </c>
      <c r="CB16" s="73">
        <v>6</v>
      </c>
      <c r="CC16" s="73">
        <v>0</v>
      </c>
      <c r="CD16" s="73">
        <v>6</v>
      </c>
      <c r="CE16" s="73">
        <v>3990</v>
      </c>
      <c r="CF16" s="73">
        <v>0</v>
      </c>
      <c r="CG16" s="73">
        <v>3990</v>
      </c>
      <c r="CH16" s="73">
        <v>4123</v>
      </c>
      <c r="CI16" s="73">
        <v>11</v>
      </c>
      <c r="CJ16" s="73">
        <v>4134</v>
      </c>
      <c r="CK16" s="74"/>
      <c r="CX16" s="39"/>
      <c r="CY16" s="49">
        <v>0</v>
      </c>
      <c r="CZ16" s="51">
        <v>0</v>
      </c>
      <c r="DA16" s="52">
        <v>0</v>
      </c>
      <c r="DB16" s="52">
        <v>0</v>
      </c>
      <c r="DC16" s="53">
        <v>0</v>
      </c>
      <c r="DD16" s="50">
        <v>0</v>
      </c>
      <c r="DE16" s="51">
        <v>0</v>
      </c>
      <c r="DF16" s="52">
        <v>0</v>
      </c>
      <c r="DG16" s="52">
        <v>0</v>
      </c>
      <c r="DH16" s="53">
        <v>0</v>
      </c>
      <c r="DI16" s="54">
        <v>0</v>
      </c>
      <c r="DL16" s="39"/>
      <c r="DM16" s="49">
        <v>0</v>
      </c>
      <c r="DN16" s="51">
        <v>0</v>
      </c>
      <c r="DO16" s="52">
        <v>0</v>
      </c>
      <c r="DP16" s="52">
        <v>0</v>
      </c>
      <c r="DQ16" s="53">
        <v>0</v>
      </c>
      <c r="DR16" s="50">
        <v>0</v>
      </c>
      <c r="DS16" s="51">
        <v>0</v>
      </c>
      <c r="DT16" s="52">
        <v>0</v>
      </c>
      <c r="DU16" s="52">
        <v>0</v>
      </c>
      <c r="DV16" s="53">
        <v>0</v>
      </c>
      <c r="DW16" s="54">
        <v>0</v>
      </c>
      <c r="EA16"/>
      <c r="EB16"/>
      <c r="EC16"/>
      <c r="EE16"/>
      <c r="EF16" s="55" t="s">
        <v>48</v>
      </c>
      <c r="EG16" s="5" t="e">
        <v>#N/A</v>
      </c>
    </row>
    <row r="17" spans="1:137" ht="15" thickBot="1" x14ac:dyDescent="0.35">
      <c r="B17" s="12" t="s">
        <v>5</v>
      </c>
      <c r="C17" s="12"/>
      <c r="D17" s="12"/>
      <c r="F17" s="78">
        <v>0.35</v>
      </c>
      <c r="G17" s="12" t="s">
        <v>5</v>
      </c>
      <c r="H17" s="12"/>
      <c r="I17" s="12"/>
      <c r="K17" s="78">
        <v>0.35</v>
      </c>
      <c r="L17" s="78">
        <v>0.14498589984618013</v>
      </c>
      <c r="V17" s="1"/>
      <c r="AN17" s="13"/>
      <c r="BV17" s="47"/>
      <c r="BX17" s="72" t="s">
        <v>49</v>
      </c>
      <c r="BY17" s="73">
        <v>383</v>
      </c>
      <c r="BZ17" s="73">
        <v>217</v>
      </c>
      <c r="CA17" s="73">
        <v>600</v>
      </c>
      <c r="CB17" s="73">
        <v>112</v>
      </c>
      <c r="CC17" s="73">
        <v>0</v>
      </c>
      <c r="CD17" s="73">
        <v>112</v>
      </c>
      <c r="CE17" s="73">
        <v>5983</v>
      </c>
      <c r="CF17" s="73">
        <v>0</v>
      </c>
      <c r="CG17" s="73">
        <v>5983</v>
      </c>
      <c r="CH17" s="73">
        <v>6478</v>
      </c>
      <c r="CI17" s="73">
        <v>217</v>
      </c>
      <c r="CJ17" s="73">
        <v>6695</v>
      </c>
      <c r="CK17" s="74"/>
      <c r="CX17" s="39"/>
      <c r="CY17" s="49">
        <v>0</v>
      </c>
      <c r="CZ17" s="51">
        <v>0</v>
      </c>
      <c r="DA17" s="52">
        <v>0</v>
      </c>
      <c r="DB17" s="52">
        <v>0</v>
      </c>
      <c r="DC17" s="53">
        <v>0</v>
      </c>
      <c r="DD17" s="50">
        <v>0</v>
      </c>
      <c r="DE17" s="51">
        <v>0</v>
      </c>
      <c r="DF17" s="52">
        <v>0</v>
      </c>
      <c r="DG17" s="52">
        <v>0</v>
      </c>
      <c r="DH17" s="53">
        <v>0</v>
      </c>
      <c r="DI17" s="54">
        <v>0</v>
      </c>
      <c r="DL17" s="39"/>
      <c r="DM17" s="49">
        <v>0</v>
      </c>
      <c r="DN17" s="51">
        <v>0</v>
      </c>
      <c r="DO17" s="52">
        <v>0</v>
      </c>
      <c r="DP17" s="52">
        <v>0</v>
      </c>
      <c r="DQ17" s="53">
        <v>0</v>
      </c>
      <c r="DR17" s="50">
        <v>0</v>
      </c>
      <c r="DS17" s="51">
        <v>0</v>
      </c>
      <c r="DT17" s="52">
        <v>0</v>
      </c>
      <c r="DU17" s="52">
        <v>0</v>
      </c>
      <c r="DV17" s="53">
        <v>0</v>
      </c>
      <c r="DW17" s="54">
        <v>0</v>
      </c>
      <c r="EA17"/>
      <c r="EB17"/>
      <c r="EC17"/>
      <c r="EE17"/>
      <c r="EF17" s="79" t="s">
        <v>50</v>
      </c>
      <c r="EG17" s="5" t="e">
        <v>#N/A</v>
      </c>
    </row>
    <row r="18" spans="1:137" ht="15" thickTop="1" x14ac:dyDescent="0.3">
      <c r="A18" s="179" t="s">
        <v>7</v>
      </c>
      <c r="B18" s="80" t="s">
        <v>51</v>
      </c>
      <c r="C18" s="80"/>
      <c r="D18" s="80"/>
      <c r="E18" s="80"/>
      <c r="F18" s="80"/>
      <c r="G18" s="81" t="s">
        <v>52</v>
      </c>
      <c r="H18" s="80"/>
      <c r="I18" s="80"/>
      <c r="J18" s="80"/>
      <c r="K18" s="80"/>
      <c r="L18" s="81" t="s">
        <v>6</v>
      </c>
      <c r="M18" s="80"/>
      <c r="N18" s="80"/>
      <c r="O18" s="80"/>
      <c r="P18" s="82"/>
      <c r="Q18" s="81" t="s">
        <v>53</v>
      </c>
      <c r="R18" s="80"/>
      <c r="S18" s="80"/>
      <c r="T18" s="80"/>
      <c r="U18" s="82"/>
      <c r="V18" s="80" t="s">
        <v>54</v>
      </c>
      <c r="W18" s="80"/>
      <c r="X18" s="80"/>
      <c r="Y18" s="80"/>
      <c r="Z18" s="82"/>
      <c r="AN18" s="13"/>
      <c r="BV18" s="47"/>
      <c r="BX18" s="72" t="s">
        <v>39</v>
      </c>
      <c r="BY18" s="73">
        <v>748</v>
      </c>
      <c r="BZ18" s="73">
        <v>45</v>
      </c>
      <c r="CA18" s="73">
        <v>793</v>
      </c>
      <c r="CB18" s="73">
        <v>217</v>
      </c>
      <c r="CC18" s="73">
        <v>0</v>
      </c>
      <c r="CD18" s="73">
        <v>217</v>
      </c>
      <c r="CE18" s="73">
        <v>801</v>
      </c>
      <c r="CF18" s="73">
        <v>0</v>
      </c>
      <c r="CG18" s="73">
        <v>801</v>
      </c>
      <c r="CH18" s="73">
        <v>1766</v>
      </c>
      <c r="CI18" s="73">
        <v>45</v>
      </c>
      <c r="CJ18" s="73">
        <v>1811</v>
      </c>
      <c r="CK18" s="74"/>
      <c r="CX18" s="39"/>
      <c r="CY18" s="49">
        <v>0</v>
      </c>
      <c r="CZ18" s="51">
        <v>0</v>
      </c>
      <c r="DA18" s="52">
        <v>0</v>
      </c>
      <c r="DB18" s="52">
        <v>0</v>
      </c>
      <c r="DC18" s="53">
        <v>0</v>
      </c>
      <c r="DD18" s="50">
        <v>0</v>
      </c>
      <c r="DE18" s="51">
        <v>0</v>
      </c>
      <c r="DF18" s="52">
        <v>0</v>
      </c>
      <c r="DG18" s="52">
        <v>0</v>
      </c>
      <c r="DH18" s="53">
        <v>0</v>
      </c>
      <c r="DI18" s="54">
        <v>0</v>
      </c>
      <c r="DL18" s="39"/>
      <c r="DM18" s="49">
        <v>0</v>
      </c>
      <c r="DN18" s="51">
        <v>0</v>
      </c>
      <c r="DO18" s="52">
        <v>0</v>
      </c>
      <c r="DP18" s="52">
        <v>0</v>
      </c>
      <c r="DQ18" s="53">
        <v>0</v>
      </c>
      <c r="DR18" s="50">
        <v>0</v>
      </c>
      <c r="DS18" s="51">
        <v>0</v>
      </c>
      <c r="DT18" s="52">
        <v>0</v>
      </c>
      <c r="DU18" s="52">
        <v>0</v>
      </c>
      <c r="DV18" s="53">
        <v>0</v>
      </c>
      <c r="DW18" s="54">
        <v>0</v>
      </c>
      <c r="EA18"/>
      <c r="EB18"/>
      <c r="EC18"/>
      <c r="EE18"/>
      <c r="EF18" s="55" t="s">
        <v>55</v>
      </c>
      <c r="EG18" s="5" t="e">
        <v>#N/A</v>
      </c>
    </row>
    <row r="19" spans="1:137" ht="15" thickBot="1" x14ac:dyDescent="0.35">
      <c r="A19" s="180"/>
      <c r="B19" s="83" t="s">
        <v>56</v>
      </c>
      <c r="C19" s="83"/>
      <c r="D19" s="83"/>
      <c r="E19" s="84" t="s">
        <v>57</v>
      </c>
      <c r="F19" s="85" t="s">
        <v>58</v>
      </c>
      <c r="G19" s="86" t="s">
        <v>56</v>
      </c>
      <c r="H19" s="83"/>
      <c r="I19" s="83"/>
      <c r="J19" s="84" t="s">
        <v>57</v>
      </c>
      <c r="K19" s="85" t="s">
        <v>58</v>
      </c>
      <c r="L19" s="86" t="s">
        <v>56</v>
      </c>
      <c r="M19" s="83"/>
      <c r="N19" s="83"/>
      <c r="O19" s="84" t="s">
        <v>57</v>
      </c>
      <c r="P19" s="87" t="s">
        <v>58</v>
      </c>
      <c r="Q19" s="86" t="s">
        <v>56</v>
      </c>
      <c r="R19" s="83"/>
      <c r="S19" s="83"/>
      <c r="T19" s="84" t="s">
        <v>57</v>
      </c>
      <c r="U19" s="87" t="s">
        <v>58</v>
      </c>
      <c r="V19" s="83" t="s">
        <v>56</v>
      </c>
      <c r="W19" s="83"/>
      <c r="X19" s="83"/>
      <c r="Y19" s="84" t="s">
        <v>57</v>
      </c>
      <c r="Z19" s="87" t="s">
        <v>58</v>
      </c>
      <c r="AN19" s="13"/>
      <c r="AP19" s="32"/>
      <c r="BV19" s="47"/>
      <c r="BX19" s="88" t="s">
        <v>59</v>
      </c>
      <c r="BY19" s="73">
        <v>0</v>
      </c>
      <c r="BZ19" s="73">
        <v>27</v>
      </c>
      <c r="CA19" s="73">
        <v>27</v>
      </c>
      <c r="CB19" s="73">
        <v>0</v>
      </c>
      <c r="CC19" s="73">
        <v>0</v>
      </c>
      <c r="CD19" s="73">
        <v>0</v>
      </c>
      <c r="CE19" s="73">
        <v>0</v>
      </c>
      <c r="CF19" s="73">
        <v>0</v>
      </c>
      <c r="CG19" s="73">
        <v>0</v>
      </c>
      <c r="CH19" s="73">
        <v>0</v>
      </c>
      <c r="CI19" s="73">
        <v>27</v>
      </c>
      <c r="CJ19" s="73">
        <v>27</v>
      </c>
      <c r="CK19" s="74"/>
      <c r="CX19" s="39"/>
      <c r="CY19" s="49">
        <v>0</v>
      </c>
      <c r="CZ19" s="51">
        <v>0</v>
      </c>
      <c r="DA19" s="52">
        <v>0</v>
      </c>
      <c r="DB19" s="52">
        <v>0</v>
      </c>
      <c r="DC19" s="53">
        <v>0</v>
      </c>
      <c r="DD19" s="50">
        <v>0</v>
      </c>
      <c r="DE19" s="51">
        <v>0</v>
      </c>
      <c r="DF19" s="52">
        <v>0</v>
      </c>
      <c r="DG19" s="52">
        <v>0</v>
      </c>
      <c r="DH19" s="53">
        <v>0</v>
      </c>
      <c r="DI19" s="54">
        <v>0</v>
      </c>
      <c r="DL19" s="39"/>
      <c r="DM19" s="49">
        <v>0</v>
      </c>
      <c r="DN19" s="51">
        <v>0</v>
      </c>
      <c r="DO19" s="52">
        <v>0</v>
      </c>
      <c r="DP19" s="52">
        <v>0</v>
      </c>
      <c r="DQ19" s="53">
        <v>0</v>
      </c>
      <c r="DR19" s="50">
        <v>0</v>
      </c>
      <c r="DS19" s="51">
        <v>0</v>
      </c>
      <c r="DT19" s="52">
        <v>0</v>
      </c>
      <c r="DU19" s="52">
        <v>0</v>
      </c>
      <c r="DV19" s="53">
        <v>0</v>
      </c>
      <c r="DW19" s="54">
        <v>0</v>
      </c>
      <c r="EA19"/>
      <c r="EB19"/>
      <c r="EC19"/>
      <c r="EE19"/>
      <c r="EF19" s="45" t="s">
        <v>60</v>
      </c>
      <c r="EG19" s="5" t="e">
        <v>#N/A</v>
      </c>
    </row>
    <row r="20" spans="1:137" ht="15" thickBot="1" x14ac:dyDescent="0.35">
      <c r="A20" s="181"/>
      <c r="B20" s="89">
        <v>46204</v>
      </c>
      <c r="C20" s="29">
        <v>46235</v>
      </c>
      <c r="D20" s="29">
        <v>46266</v>
      </c>
      <c r="E20" s="90" t="s">
        <v>119</v>
      </c>
      <c r="F20" s="91" t="s">
        <v>0</v>
      </c>
      <c r="G20" s="92">
        <v>46204</v>
      </c>
      <c r="H20" s="29">
        <v>46235</v>
      </c>
      <c r="I20" s="29">
        <v>46266</v>
      </c>
      <c r="J20" s="90" t="s">
        <v>119</v>
      </c>
      <c r="K20" s="91" t="s">
        <v>0</v>
      </c>
      <c r="L20" s="92">
        <v>46204</v>
      </c>
      <c r="M20" s="29">
        <v>46235</v>
      </c>
      <c r="N20" s="29">
        <v>46266</v>
      </c>
      <c r="O20" s="90" t="s">
        <v>119</v>
      </c>
      <c r="P20" s="91" t="s">
        <v>0</v>
      </c>
      <c r="Q20" s="92">
        <v>46204</v>
      </c>
      <c r="R20" s="29">
        <v>46235</v>
      </c>
      <c r="S20" s="29">
        <v>46266</v>
      </c>
      <c r="T20" s="90" t="s">
        <v>119</v>
      </c>
      <c r="U20" s="91" t="s">
        <v>0</v>
      </c>
      <c r="V20" s="89">
        <v>46204</v>
      </c>
      <c r="W20" s="29">
        <v>46235</v>
      </c>
      <c r="X20" s="29">
        <v>46266</v>
      </c>
      <c r="Y20" s="90" t="s">
        <v>119</v>
      </c>
      <c r="Z20" s="93" t="s">
        <v>0</v>
      </c>
      <c r="AN20" s="13"/>
      <c r="AQ20" s="188" t="s">
        <v>7</v>
      </c>
      <c r="AR20" s="35" t="s">
        <v>8</v>
      </c>
      <c r="AS20" s="36"/>
      <c r="AT20" s="37"/>
      <c r="AU20" s="35" t="s">
        <v>13</v>
      </c>
      <c r="AV20" s="36"/>
      <c r="AW20" s="37"/>
      <c r="AX20" s="35" t="s">
        <v>14</v>
      </c>
      <c r="AY20" s="36"/>
      <c r="AZ20" s="37"/>
      <c r="BA20" s="35" t="s">
        <v>15</v>
      </c>
      <c r="BB20" s="36"/>
      <c r="BC20" s="37"/>
      <c r="BD20" s="35" t="s">
        <v>16</v>
      </c>
      <c r="BE20" s="36"/>
      <c r="BF20" s="37"/>
      <c r="BG20" s="35" t="s">
        <v>17</v>
      </c>
      <c r="BH20" s="36"/>
      <c r="BI20" s="37"/>
      <c r="BJ20" s="35" t="s">
        <v>18</v>
      </c>
      <c r="BK20" s="36"/>
      <c r="BL20" s="37"/>
      <c r="BM20" s="35" t="s">
        <v>19</v>
      </c>
      <c r="BN20" s="36"/>
      <c r="BO20" s="37"/>
      <c r="BV20" s="47"/>
      <c r="BX20" s="94" t="s">
        <v>36</v>
      </c>
      <c r="BY20" s="95">
        <v>1844</v>
      </c>
      <c r="BZ20" s="95">
        <v>2379</v>
      </c>
      <c r="CA20" s="95">
        <v>4223</v>
      </c>
      <c r="CB20" s="95">
        <v>406</v>
      </c>
      <c r="CC20" s="95">
        <v>0</v>
      </c>
      <c r="CD20" s="95">
        <v>406</v>
      </c>
      <c r="CE20" s="95">
        <v>11440</v>
      </c>
      <c r="CF20" s="95">
        <v>0</v>
      </c>
      <c r="CG20" s="95">
        <v>11440</v>
      </c>
      <c r="CH20" s="95">
        <v>13690</v>
      </c>
      <c r="CI20" s="95">
        <v>2379</v>
      </c>
      <c r="CJ20" s="95">
        <v>16069</v>
      </c>
      <c r="CO20" s="74"/>
      <c r="CX20" s="39"/>
      <c r="CY20" s="49">
        <v>0</v>
      </c>
      <c r="CZ20" s="51">
        <v>0</v>
      </c>
      <c r="DA20" s="52">
        <v>0</v>
      </c>
      <c r="DB20" s="52">
        <v>0</v>
      </c>
      <c r="DC20" s="53">
        <v>0</v>
      </c>
      <c r="DD20" s="62">
        <v>0</v>
      </c>
      <c r="DE20" s="63">
        <v>0</v>
      </c>
      <c r="DF20" s="64">
        <v>0</v>
      </c>
      <c r="DG20" s="64">
        <v>0</v>
      </c>
      <c r="DH20" s="65">
        <v>0</v>
      </c>
      <c r="DI20" s="66">
        <v>0</v>
      </c>
      <c r="DL20" s="39"/>
      <c r="DM20" s="49">
        <v>0</v>
      </c>
      <c r="DN20" s="63">
        <v>0</v>
      </c>
      <c r="DO20" s="64">
        <v>0</v>
      </c>
      <c r="DP20" s="64">
        <v>0</v>
      </c>
      <c r="DQ20" s="65">
        <v>0</v>
      </c>
      <c r="DR20" s="62">
        <v>0</v>
      </c>
      <c r="DS20" s="63">
        <v>0</v>
      </c>
      <c r="DT20" s="64">
        <v>0</v>
      </c>
      <c r="DU20" s="64">
        <v>0</v>
      </c>
      <c r="DV20" s="65">
        <v>0</v>
      </c>
      <c r="DW20" s="66">
        <v>0</v>
      </c>
      <c r="EA20"/>
      <c r="EB20"/>
      <c r="EC20"/>
      <c r="EE20"/>
      <c r="EF20" s="55" t="s">
        <v>61</v>
      </c>
      <c r="EG20" s="5" t="e">
        <v>#N/A</v>
      </c>
    </row>
    <row r="21" spans="1:137" ht="15" thickTop="1" x14ac:dyDescent="0.3">
      <c r="A21" s="96" t="s">
        <v>62</v>
      </c>
      <c r="B21" s="41">
        <v>22422.050000000007</v>
      </c>
      <c r="C21" s="41">
        <v>16462.650000000001</v>
      </c>
      <c r="D21" s="41"/>
      <c r="E21" s="97">
        <v>71612</v>
      </c>
      <c r="F21" s="98">
        <v>0.54299139808970576</v>
      </c>
      <c r="G21" s="99">
        <v>7043</v>
      </c>
      <c r="H21" s="41">
        <v>9923.25</v>
      </c>
      <c r="I21" s="41"/>
      <c r="J21" s="97">
        <v>40957</v>
      </c>
      <c r="K21" s="98">
        <v>0.41424542813194326</v>
      </c>
      <c r="L21" s="99">
        <v>2318321.2200000002</v>
      </c>
      <c r="M21" s="41">
        <v>2795658.7600000002</v>
      </c>
      <c r="N21" s="41"/>
      <c r="O21" s="97">
        <v>5646874</v>
      </c>
      <c r="P21" s="100">
        <v>0.90563026198211616</v>
      </c>
      <c r="Q21" s="99">
        <v>218850158.25133502</v>
      </c>
      <c r="R21" s="97"/>
      <c r="S21" s="97"/>
      <c r="T21" s="97">
        <v>679893392</v>
      </c>
      <c r="U21" s="100">
        <v>0.32188893262744789</v>
      </c>
      <c r="V21" s="41">
        <v>124327.5</v>
      </c>
      <c r="W21" s="41">
        <v>51088</v>
      </c>
      <c r="X21" s="41"/>
      <c r="Y21" s="97">
        <v>333960</v>
      </c>
      <c r="Z21" s="101">
        <v>0.52525901305545575</v>
      </c>
      <c r="AH21" s="102"/>
      <c r="AI21" s="102"/>
      <c r="AJ21" s="102"/>
      <c r="AK21" s="102"/>
      <c r="AL21" s="102"/>
      <c r="AM21" s="102"/>
      <c r="AN21" s="13"/>
      <c r="AQ21" s="189"/>
      <c r="AR21" s="103">
        <v>46204</v>
      </c>
      <c r="AS21" s="89">
        <v>46235</v>
      </c>
      <c r="AT21" s="104">
        <v>46266</v>
      </c>
      <c r="AU21" s="103">
        <v>46204</v>
      </c>
      <c r="AV21" s="89">
        <v>46235</v>
      </c>
      <c r="AW21" s="104">
        <v>46266</v>
      </c>
      <c r="AX21" s="103">
        <v>46204</v>
      </c>
      <c r="AY21" s="89">
        <v>46235</v>
      </c>
      <c r="AZ21" s="104">
        <v>46266</v>
      </c>
      <c r="BA21" s="103">
        <v>46204</v>
      </c>
      <c r="BB21" s="89">
        <v>46235</v>
      </c>
      <c r="BC21" s="104">
        <v>46266</v>
      </c>
      <c r="BD21" s="103">
        <v>46204</v>
      </c>
      <c r="BE21" s="89">
        <v>46235</v>
      </c>
      <c r="BF21" s="104">
        <v>46266</v>
      </c>
      <c r="BG21" s="103">
        <v>46204</v>
      </c>
      <c r="BH21" s="89">
        <v>46235</v>
      </c>
      <c r="BI21" s="104">
        <v>46266</v>
      </c>
      <c r="BJ21" s="103">
        <v>46204</v>
      </c>
      <c r="BK21" s="89">
        <v>46235</v>
      </c>
      <c r="BL21" s="104">
        <v>46266</v>
      </c>
      <c r="BM21" s="103">
        <v>46204</v>
      </c>
      <c r="BN21" s="89">
        <v>46235</v>
      </c>
      <c r="BO21" s="104">
        <v>46266</v>
      </c>
      <c r="BV21" s="47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O21" s="74"/>
      <c r="CW21" s="38">
        <v>0</v>
      </c>
      <c r="CX21" s="39" t="s">
        <v>49</v>
      </c>
      <c r="CY21" s="51">
        <v>0</v>
      </c>
      <c r="CZ21" s="40">
        <v>0</v>
      </c>
      <c r="DA21" s="41">
        <v>0</v>
      </c>
      <c r="DB21" s="41">
        <v>0</v>
      </c>
      <c r="DC21" s="42">
        <v>0</v>
      </c>
      <c r="DD21" s="44">
        <v>0</v>
      </c>
      <c r="DE21" s="40">
        <v>0</v>
      </c>
      <c r="DF21" s="41">
        <v>0</v>
      </c>
      <c r="DG21" s="41">
        <v>0</v>
      </c>
      <c r="DH21" s="42">
        <v>0</v>
      </c>
      <c r="DI21" s="44">
        <v>0</v>
      </c>
      <c r="DL21" s="39" t="s">
        <v>49</v>
      </c>
      <c r="DM21" s="51">
        <v>0</v>
      </c>
      <c r="DN21" s="40">
        <v>0</v>
      </c>
      <c r="DO21" s="41">
        <v>0</v>
      </c>
      <c r="DP21" s="41">
        <v>0</v>
      </c>
      <c r="DQ21" s="42">
        <v>0</v>
      </c>
      <c r="DR21" s="43">
        <v>0</v>
      </c>
      <c r="DS21" s="40">
        <v>0</v>
      </c>
      <c r="DT21" s="41">
        <v>0</v>
      </c>
      <c r="DU21" s="41">
        <v>0</v>
      </c>
      <c r="DV21" s="42">
        <v>0</v>
      </c>
      <c r="DW21" s="44">
        <v>0</v>
      </c>
      <c r="EA21"/>
      <c r="EB21"/>
      <c r="EC21"/>
      <c r="EE21"/>
      <c r="EF21" s="45" t="s">
        <v>63</v>
      </c>
      <c r="EG21" s="5" t="e">
        <v>#N/A</v>
      </c>
    </row>
    <row r="22" spans="1:137" ht="14.4" x14ac:dyDescent="0.3">
      <c r="A22" s="105" t="s">
        <v>38</v>
      </c>
      <c r="B22" s="52">
        <v>4561.8</v>
      </c>
      <c r="C22" s="52">
        <v>2770.55</v>
      </c>
      <c r="D22" s="52"/>
      <c r="E22" s="106">
        <v>10880</v>
      </c>
      <c r="F22" s="107">
        <v>0.67392922794117649</v>
      </c>
      <c r="G22" s="51">
        <v>2924</v>
      </c>
      <c r="H22" s="52">
        <v>1940.4000000000003</v>
      </c>
      <c r="I22" s="52"/>
      <c r="J22" s="106">
        <v>5993</v>
      </c>
      <c r="K22" s="107">
        <v>0.8116802936759554</v>
      </c>
      <c r="L22" s="51">
        <v>-150513.5</v>
      </c>
      <c r="M22" s="52">
        <v>-14607</v>
      </c>
      <c r="N22" s="106"/>
      <c r="O22" s="106">
        <v>299600</v>
      </c>
      <c r="P22" s="101">
        <v>0</v>
      </c>
      <c r="Q22" s="51">
        <v>26797507.937400002</v>
      </c>
      <c r="R22" s="52"/>
      <c r="S22" s="106"/>
      <c r="T22" s="106">
        <v>86580976</v>
      </c>
      <c r="U22" s="101">
        <v>0.30950803716280584</v>
      </c>
      <c r="V22" s="52">
        <v>6544.5</v>
      </c>
      <c r="W22" s="52">
        <v>2530</v>
      </c>
      <c r="X22" s="52"/>
      <c r="Y22" s="106">
        <v>44780</v>
      </c>
      <c r="Z22" s="101">
        <v>0.20264627065654309</v>
      </c>
      <c r="AG22" s="38">
        <v>16966.25</v>
      </c>
      <c r="AN22" s="13"/>
      <c r="AQ22" s="68" t="s">
        <v>62</v>
      </c>
      <c r="AR22" s="108">
        <v>22422.050000000007</v>
      </c>
      <c r="AS22" s="108">
        <v>16462.650000000001</v>
      </c>
      <c r="AT22" s="108">
        <v>0</v>
      </c>
      <c r="AU22" s="108">
        <v>-15249.300000000003</v>
      </c>
      <c r="AV22" s="109">
        <v>-6632.4000000000005</v>
      </c>
      <c r="AW22" s="110">
        <v>0</v>
      </c>
      <c r="AX22" s="108">
        <v>-129.75</v>
      </c>
      <c r="AY22" s="109">
        <v>93</v>
      </c>
      <c r="AZ22" s="110">
        <v>0</v>
      </c>
      <c r="BA22" s="108">
        <v>4265665.3000000007</v>
      </c>
      <c r="BB22" s="109">
        <v>3163467.2</v>
      </c>
      <c r="BC22" s="110">
        <v>0</v>
      </c>
      <c r="BD22" s="108">
        <v>-2233112.4000000004</v>
      </c>
      <c r="BE22" s="109">
        <v>-464992</v>
      </c>
      <c r="BF22" s="110">
        <v>0</v>
      </c>
      <c r="BG22" s="108">
        <v>285768.32000000001</v>
      </c>
      <c r="BH22" s="109">
        <v>97183.560000000012</v>
      </c>
      <c r="BI22" s="110">
        <v>0</v>
      </c>
      <c r="BJ22" s="108">
        <v>2506.6000000000004</v>
      </c>
      <c r="BK22" s="109">
        <v>1182.1000000000004</v>
      </c>
      <c r="BL22" s="110">
        <v>0</v>
      </c>
      <c r="BM22" s="108">
        <v>2344.6000000000004</v>
      </c>
      <c r="BN22" s="109">
        <v>914.89999999999986</v>
      </c>
      <c r="BO22" s="110">
        <v>0</v>
      </c>
      <c r="BV22" s="47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O22" s="74"/>
      <c r="CX22" s="39"/>
      <c r="CY22" s="49">
        <v>0</v>
      </c>
      <c r="CZ22" s="51">
        <v>0</v>
      </c>
      <c r="DA22" s="52">
        <v>0</v>
      </c>
      <c r="DB22" s="52">
        <v>0</v>
      </c>
      <c r="DC22" s="53">
        <v>0</v>
      </c>
      <c r="DD22" s="50">
        <v>0</v>
      </c>
      <c r="DE22" s="51">
        <v>0</v>
      </c>
      <c r="DF22" s="52">
        <v>0</v>
      </c>
      <c r="DG22" s="52">
        <v>0</v>
      </c>
      <c r="DH22" s="53">
        <v>0</v>
      </c>
      <c r="DI22" s="54">
        <v>0</v>
      </c>
      <c r="DL22" s="39"/>
      <c r="DM22" s="49">
        <v>0</v>
      </c>
      <c r="DN22" s="51">
        <v>0</v>
      </c>
      <c r="DO22" s="52">
        <v>0</v>
      </c>
      <c r="DP22" s="52">
        <v>0</v>
      </c>
      <c r="DQ22" s="53">
        <v>0</v>
      </c>
      <c r="DR22" s="50">
        <v>0</v>
      </c>
      <c r="DS22" s="51">
        <v>0</v>
      </c>
      <c r="DT22" s="52">
        <v>0</v>
      </c>
      <c r="DU22" s="52">
        <v>0</v>
      </c>
      <c r="DV22" s="53">
        <v>0</v>
      </c>
      <c r="DW22" s="54">
        <v>0</v>
      </c>
      <c r="EA22"/>
      <c r="EB22"/>
      <c r="EC22"/>
      <c r="EE22"/>
      <c r="EF22" s="55" t="s">
        <v>64</v>
      </c>
      <c r="EG22" s="5" t="e">
        <v>#N/A</v>
      </c>
    </row>
    <row r="23" spans="1:137" ht="14.4" x14ac:dyDescent="0.3">
      <c r="A23" s="105" t="s">
        <v>41</v>
      </c>
      <c r="B23" s="52">
        <v>5418.5000000000009</v>
      </c>
      <c r="C23" s="52">
        <v>1961.0500000000002</v>
      </c>
      <c r="D23" s="52"/>
      <c r="E23" s="106">
        <v>8357</v>
      </c>
      <c r="F23" s="111">
        <v>0.88303817159267695</v>
      </c>
      <c r="G23" s="51">
        <v>4039.0500000000011</v>
      </c>
      <c r="H23" s="52">
        <v>1208.4500000000003</v>
      </c>
      <c r="I23" s="52"/>
      <c r="J23" s="106">
        <v>5100</v>
      </c>
      <c r="K23" s="111">
        <v>1.0289215686274513</v>
      </c>
      <c r="L23" s="51">
        <v>290156.5</v>
      </c>
      <c r="M23" s="52">
        <v>29140</v>
      </c>
      <c r="N23" s="106"/>
      <c r="O23" s="106">
        <v>487904</v>
      </c>
      <c r="P23" s="101">
        <v>0.65442484587131899</v>
      </c>
      <c r="Q23" s="51">
        <v>32438116.729736425</v>
      </c>
      <c r="R23" s="52"/>
      <c r="S23" s="106"/>
      <c r="T23" s="106">
        <v>99020341</v>
      </c>
      <c r="U23" s="101">
        <v>0.32759043649159342</v>
      </c>
      <c r="V23" s="52">
        <v>45622</v>
      </c>
      <c r="W23" s="52">
        <v>3587</v>
      </c>
      <c r="X23" s="52"/>
      <c r="Y23" s="106">
        <v>34680</v>
      </c>
      <c r="Z23" s="101">
        <v>1.4189446366782006</v>
      </c>
      <c r="AG23" s="38">
        <v>4864.4000000000005</v>
      </c>
      <c r="AN23" s="13"/>
      <c r="AQ23" s="72" t="s">
        <v>38</v>
      </c>
      <c r="AR23" s="112">
        <v>4561.8</v>
      </c>
      <c r="AS23" s="73">
        <v>2770.55</v>
      </c>
      <c r="AT23" s="113">
        <v>0</v>
      </c>
      <c r="AU23" s="112">
        <v>-1543.0500000000002</v>
      </c>
      <c r="AV23" s="73">
        <v>-850.64999999999986</v>
      </c>
      <c r="AW23" s="73">
        <v>0</v>
      </c>
      <c r="AX23" s="112">
        <v>-94.75</v>
      </c>
      <c r="AY23" s="112">
        <v>20.5</v>
      </c>
      <c r="AZ23" s="112">
        <v>0</v>
      </c>
      <c r="BA23" s="112">
        <v>1130981</v>
      </c>
      <c r="BB23" s="112">
        <v>63631</v>
      </c>
      <c r="BC23" s="113">
        <v>0</v>
      </c>
      <c r="BD23" s="112">
        <v>-1439190.5</v>
      </c>
      <c r="BE23" s="112">
        <v>-71038</v>
      </c>
      <c r="BF23" s="112">
        <v>0</v>
      </c>
      <c r="BG23" s="112">
        <v>157696</v>
      </c>
      <c r="BH23" s="112">
        <v>-7200</v>
      </c>
      <c r="BI23" s="112">
        <v>0</v>
      </c>
      <c r="BJ23" s="112">
        <v>771.40000000000009</v>
      </c>
      <c r="BK23" s="112">
        <v>336.8</v>
      </c>
      <c r="BL23" s="112">
        <v>0</v>
      </c>
      <c r="BM23" s="112">
        <v>226.4</v>
      </c>
      <c r="BN23" s="112">
        <v>131.19999999999999</v>
      </c>
      <c r="BO23" s="113">
        <v>0</v>
      </c>
      <c r="BV23" s="47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O23" s="74"/>
      <c r="CX23" s="39"/>
      <c r="CY23" s="49">
        <v>0</v>
      </c>
      <c r="CZ23" s="51">
        <v>0</v>
      </c>
      <c r="DA23" s="52">
        <v>0</v>
      </c>
      <c r="DB23" s="52">
        <v>0</v>
      </c>
      <c r="DC23" s="53">
        <v>0</v>
      </c>
      <c r="DD23" s="50">
        <v>0</v>
      </c>
      <c r="DE23" s="51">
        <v>0</v>
      </c>
      <c r="DF23" s="52">
        <v>0</v>
      </c>
      <c r="DG23" s="52">
        <v>0</v>
      </c>
      <c r="DH23" s="53">
        <v>0</v>
      </c>
      <c r="DI23" s="54">
        <v>0</v>
      </c>
      <c r="DL23" s="39"/>
      <c r="DM23" s="49">
        <v>0</v>
      </c>
      <c r="DN23" s="51">
        <v>0</v>
      </c>
      <c r="DO23" s="52">
        <v>0</v>
      </c>
      <c r="DP23" s="52">
        <v>0</v>
      </c>
      <c r="DQ23" s="53">
        <v>0</v>
      </c>
      <c r="DR23" s="50">
        <v>0</v>
      </c>
      <c r="DS23" s="51">
        <v>0</v>
      </c>
      <c r="DT23" s="52">
        <v>0</v>
      </c>
      <c r="DU23" s="52">
        <v>0</v>
      </c>
      <c r="DV23" s="53">
        <v>0</v>
      </c>
      <c r="DW23" s="54">
        <v>0</v>
      </c>
      <c r="EA23"/>
      <c r="EB23"/>
      <c r="EC23"/>
      <c r="EE23"/>
      <c r="EF23" s="45" t="s">
        <v>65</v>
      </c>
      <c r="EG23" s="5" t="e">
        <v>#N/A</v>
      </c>
    </row>
    <row r="24" spans="1:137" ht="15" thickBot="1" x14ac:dyDescent="0.35">
      <c r="A24" s="105" t="s">
        <v>43</v>
      </c>
      <c r="B24" s="52">
        <v>5587.0000000000009</v>
      </c>
      <c r="C24" s="52">
        <v>7385.4499999999989</v>
      </c>
      <c r="D24" s="52"/>
      <c r="E24" s="106">
        <v>20440</v>
      </c>
      <c r="F24" s="111">
        <v>0.6346599804305284</v>
      </c>
      <c r="G24" s="51">
        <v>2530.5500000000006</v>
      </c>
      <c r="H24" s="52">
        <v>5519.8999999999987</v>
      </c>
      <c r="I24" s="52"/>
      <c r="J24" s="106">
        <v>13332</v>
      </c>
      <c r="K24" s="111">
        <v>0.60384413441344131</v>
      </c>
      <c r="L24" s="51">
        <v>301871.5</v>
      </c>
      <c r="M24" s="52">
        <v>616637.5</v>
      </c>
      <c r="N24" s="106"/>
      <c r="O24" s="106">
        <v>445000</v>
      </c>
      <c r="P24" s="101">
        <v>2.0640651685393259</v>
      </c>
      <c r="Q24" s="51">
        <v>24054556.613100003</v>
      </c>
      <c r="R24" s="52"/>
      <c r="S24" s="106"/>
      <c r="T24" s="106">
        <v>74090900</v>
      </c>
      <c r="U24" s="101">
        <v>0.32466276712929665</v>
      </c>
      <c r="V24" s="52">
        <v>6905</v>
      </c>
      <c r="W24" s="52">
        <v>-1484</v>
      </c>
      <c r="X24" s="52"/>
      <c r="Y24" s="106">
        <v>29640</v>
      </c>
      <c r="Z24" s="101">
        <v>0.18289473684210528</v>
      </c>
      <c r="AG24" s="38">
        <v>5247.5000000000018</v>
      </c>
      <c r="AN24" s="13"/>
      <c r="AQ24" s="72" t="s">
        <v>41</v>
      </c>
      <c r="AR24" s="112">
        <v>5418.5000000000009</v>
      </c>
      <c r="AS24" s="73">
        <v>1961.0500000000002</v>
      </c>
      <c r="AT24" s="113">
        <v>0</v>
      </c>
      <c r="AU24" s="112">
        <v>-1376.2</v>
      </c>
      <c r="AV24" s="73">
        <v>-752.59999999999991</v>
      </c>
      <c r="AW24" s="73">
        <v>0</v>
      </c>
      <c r="AX24" s="112">
        <v>-3.25</v>
      </c>
      <c r="AY24" s="112">
        <v>0</v>
      </c>
      <c r="AZ24" s="112">
        <v>0</v>
      </c>
      <c r="BA24" s="112">
        <v>342747.5</v>
      </c>
      <c r="BB24" s="112">
        <v>35300</v>
      </c>
      <c r="BC24" s="113">
        <v>0</v>
      </c>
      <c r="BD24" s="112">
        <v>-58441</v>
      </c>
      <c r="BE24" s="112">
        <v>-3160</v>
      </c>
      <c r="BF24" s="112">
        <v>0</v>
      </c>
      <c r="BG24" s="112">
        <v>5850</v>
      </c>
      <c r="BH24" s="112">
        <v>-3000</v>
      </c>
      <c r="BI24" s="112">
        <v>0</v>
      </c>
      <c r="BJ24" s="112">
        <v>561.79999999999995</v>
      </c>
      <c r="BK24" s="112">
        <v>180.3</v>
      </c>
      <c r="BL24" s="112">
        <v>0</v>
      </c>
      <c r="BM24" s="112">
        <v>200.2</v>
      </c>
      <c r="BN24" s="112">
        <v>83</v>
      </c>
      <c r="BO24" s="113">
        <v>0</v>
      </c>
      <c r="BV24" s="47"/>
      <c r="BY24" s="177" t="s">
        <v>13</v>
      </c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O24" s="74"/>
      <c r="CX24" s="39"/>
      <c r="CY24" s="49">
        <v>0</v>
      </c>
      <c r="CZ24" s="51">
        <v>0</v>
      </c>
      <c r="DA24" s="52">
        <v>0</v>
      </c>
      <c r="DB24" s="52">
        <v>0</v>
      </c>
      <c r="DC24" s="53">
        <v>0</v>
      </c>
      <c r="DD24" s="50">
        <v>0</v>
      </c>
      <c r="DE24" s="51">
        <v>0</v>
      </c>
      <c r="DF24" s="52">
        <v>0</v>
      </c>
      <c r="DG24" s="52">
        <v>0</v>
      </c>
      <c r="DH24" s="53">
        <v>0</v>
      </c>
      <c r="DI24" s="54">
        <v>0</v>
      </c>
      <c r="DL24" s="39"/>
      <c r="DM24" s="49">
        <v>0</v>
      </c>
      <c r="DN24" s="51">
        <v>0</v>
      </c>
      <c r="DO24" s="52">
        <v>0</v>
      </c>
      <c r="DP24" s="52">
        <v>0</v>
      </c>
      <c r="DQ24" s="53">
        <v>0</v>
      </c>
      <c r="DR24" s="50">
        <v>0</v>
      </c>
      <c r="DS24" s="51">
        <v>0</v>
      </c>
      <c r="DT24" s="52">
        <v>0</v>
      </c>
      <c r="DU24" s="52">
        <v>0</v>
      </c>
      <c r="DV24" s="53">
        <v>0</v>
      </c>
      <c r="DW24" s="54">
        <v>0</v>
      </c>
      <c r="EA24"/>
      <c r="EB24"/>
      <c r="EC24"/>
      <c r="EF24" s="79" t="s">
        <v>37</v>
      </c>
      <c r="EG24" s="5" t="e">
        <v>#N/A</v>
      </c>
    </row>
    <row r="25" spans="1:137" ht="15" thickTop="1" x14ac:dyDescent="0.3">
      <c r="A25" s="105" t="s">
        <v>45</v>
      </c>
      <c r="B25" s="52">
        <v>843.65000000000009</v>
      </c>
      <c r="C25" s="52">
        <v>466.45</v>
      </c>
      <c r="D25" s="52"/>
      <c r="E25" s="106">
        <v>3660</v>
      </c>
      <c r="F25" s="111">
        <v>0.35795081967213116</v>
      </c>
      <c r="G25" s="51">
        <v>-649.75</v>
      </c>
      <c r="H25" s="52">
        <v>-148.60000000000008</v>
      </c>
      <c r="I25" s="52"/>
      <c r="J25" s="106">
        <v>1806</v>
      </c>
      <c r="K25" s="111">
        <v>0</v>
      </c>
      <c r="L25" s="51">
        <v>-12236</v>
      </c>
      <c r="M25" s="52">
        <v>7746</v>
      </c>
      <c r="N25" s="106"/>
      <c r="O25" s="106">
        <v>60000</v>
      </c>
      <c r="P25" s="101">
        <v>0</v>
      </c>
      <c r="Q25" s="51">
        <v>9156420.7623999994</v>
      </c>
      <c r="R25" s="52"/>
      <c r="S25" s="106"/>
      <c r="T25" s="106">
        <v>30868086</v>
      </c>
      <c r="U25" s="101">
        <v>0.29663066127261661</v>
      </c>
      <c r="V25" s="52">
        <v>-934.5</v>
      </c>
      <c r="W25" s="52">
        <v>5635</v>
      </c>
      <c r="X25" s="52"/>
      <c r="Y25" s="106">
        <v>33920</v>
      </c>
      <c r="Z25" s="101">
        <v>0.13857606132075473</v>
      </c>
      <c r="AG25" s="38">
        <v>8050.4499999999989</v>
      </c>
      <c r="AN25" s="13"/>
      <c r="AQ25" s="72" t="s">
        <v>43</v>
      </c>
      <c r="AR25" s="112">
        <v>5587.0000000000009</v>
      </c>
      <c r="AS25" s="73">
        <v>7385.4499999999989</v>
      </c>
      <c r="AT25" s="113">
        <v>0</v>
      </c>
      <c r="AU25" s="112">
        <v>-3110.7000000000003</v>
      </c>
      <c r="AV25" s="73">
        <v>-1878.5500000000002</v>
      </c>
      <c r="AW25" s="73">
        <v>0</v>
      </c>
      <c r="AX25" s="112">
        <v>54.25</v>
      </c>
      <c r="AY25" s="112">
        <v>13</v>
      </c>
      <c r="AZ25" s="112">
        <v>0</v>
      </c>
      <c r="BA25" s="112">
        <v>298277</v>
      </c>
      <c r="BB25" s="112">
        <v>712815.5</v>
      </c>
      <c r="BC25" s="113">
        <v>0</v>
      </c>
      <c r="BD25" s="112">
        <v>-21283.5</v>
      </c>
      <c r="BE25" s="112">
        <v>-102742</v>
      </c>
      <c r="BF25" s="112">
        <v>0</v>
      </c>
      <c r="BG25" s="112">
        <v>24878</v>
      </c>
      <c r="BH25" s="112">
        <v>6564</v>
      </c>
      <c r="BI25" s="112">
        <v>0</v>
      </c>
      <c r="BJ25" s="112">
        <v>865.40000000000009</v>
      </c>
      <c r="BK25" s="112">
        <v>495.00000000000006</v>
      </c>
      <c r="BL25" s="112">
        <v>0</v>
      </c>
      <c r="BM25" s="112">
        <v>420.09999999999997</v>
      </c>
      <c r="BN25" s="112">
        <v>182</v>
      </c>
      <c r="BO25" s="113">
        <v>0</v>
      </c>
      <c r="BV25" s="47"/>
      <c r="BY25" s="60" t="s">
        <v>28</v>
      </c>
      <c r="BZ25" s="60"/>
      <c r="CA25" s="60"/>
      <c r="CB25" s="60" t="s">
        <v>29</v>
      </c>
      <c r="CC25" s="60"/>
      <c r="CD25" s="60"/>
      <c r="CE25" s="60" t="s">
        <v>30</v>
      </c>
      <c r="CF25" s="60"/>
      <c r="CG25" s="60"/>
      <c r="CH25" s="60" t="s">
        <v>31</v>
      </c>
      <c r="CI25" s="60"/>
      <c r="CJ25" s="60"/>
      <c r="CO25" s="74"/>
      <c r="CX25" s="39"/>
      <c r="CY25" s="49">
        <v>0</v>
      </c>
      <c r="CZ25" s="51">
        <v>0</v>
      </c>
      <c r="DA25" s="52">
        <v>0</v>
      </c>
      <c r="DB25" s="52">
        <v>0</v>
      </c>
      <c r="DC25" s="53">
        <v>0</v>
      </c>
      <c r="DD25" s="50">
        <v>0</v>
      </c>
      <c r="DE25" s="51">
        <v>0</v>
      </c>
      <c r="DF25" s="52">
        <v>0</v>
      </c>
      <c r="DG25" s="52">
        <v>0</v>
      </c>
      <c r="DH25" s="53">
        <v>0</v>
      </c>
      <c r="DI25" s="54">
        <v>0</v>
      </c>
      <c r="DL25" s="39"/>
      <c r="DM25" s="49">
        <v>0</v>
      </c>
      <c r="DN25" s="51">
        <v>0</v>
      </c>
      <c r="DO25" s="52">
        <v>0</v>
      </c>
      <c r="DP25" s="52">
        <v>0</v>
      </c>
      <c r="DQ25" s="53">
        <v>0</v>
      </c>
      <c r="DR25" s="50">
        <v>0</v>
      </c>
      <c r="DS25" s="51">
        <v>0</v>
      </c>
      <c r="DT25" s="52">
        <v>0</v>
      </c>
      <c r="DU25" s="52">
        <v>0</v>
      </c>
      <c r="DV25" s="53">
        <v>0</v>
      </c>
      <c r="DW25" s="54">
        <v>0</v>
      </c>
      <c r="EA25"/>
      <c r="EB25"/>
      <c r="EC25"/>
      <c r="EF25" s="45" t="s">
        <v>66</v>
      </c>
      <c r="EG25" s="5" t="e">
        <v>#N/A</v>
      </c>
    </row>
    <row r="26" spans="1:137" ht="14.4" x14ac:dyDescent="0.3">
      <c r="A26" s="105" t="s">
        <v>47</v>
      </c>
      <c r="B26" s="52">
        <v>818.15</v>
      </c>
      <c r="C26" s="52">
        <v>617.30000000000007</v>
      </c>
      <c r="D26" s="52"/>
      <c r="E26" s="106">
        <v>4600</v>
      </c>
      <c r="F26" s="111">
        <v>0.31205434782608699</v>
      </c>
      <c r="G26" s="51">
        <v>-405.94999999999993</v>
      </c>
      <c r="H26" s="52">
        <v>12.100000000000136</v>
      </c>
      <c r="I26" s="52"/>
      <c r="J26" s="106">
        <v>2451</v>
      </c>
      <c r="K26" s="111">
        <v>0</v>
      </c>
      <c r="L26" s="51">
        <v>1824254.32</v>
      </c>
      <c r="M26" s="52">
        <v>1867036.36</v>
      </c>
      <c r="N26" s="106"/>
      <c r="O26" s="106">
        <v>3604177</v>
      </c>
      <c r="P26" s="101">
        <v>1.0241702002981541</v>
      </c>
      <c r="Q26" s="51">
        <v>56873600.450098582</v>
      </c>
      <c r="R26" s="52"/>
      <c r="S26" s="106"/>
      <c r="T26" s="106">
        <v>173684329</v>
      </c>
      <c r="U26" s="101">
        <v>0.32745383983432713</v>
      </c>
      <c r="V26" s="52">
        <v>8557</v>
      </c>
      <c r="W26" s="52">
        <v>15269</v>
      </c>
      <c r="X26" s="52"/>
      <c r="Y26" s="106">
        <v>55530</v>
      </c>
      <c r="Z26" s="101">
        <v>0.42906537007023232</v>
      </c>
      <c r="AB26" s="38">
        <v>56873600.450098582</v>
      </c>
      <c r="AG26" s="38">
        <v>-798.35000000000014</v>
      </c>
      <c r="AN26" s="13"/>
      <c r="AQ26" s="72" t="s">
        <v>45</v>
      </c>
      <c r="AR26" s="112">
        <v>843.65000000000009</v>
      </c>
      <c r="AS26" s="73">
        <v>466.45</v>
      </c>
      <c r="AT26" s="113">
        <v>0</v>
      </c>
      <c r="AU26" s="112">
        <v>-1361.65</v>
      </c>
      <c r="AV26" s="73">
        <v>-663.05000000000007</v>
      </c>
      <c r="AW26" s="73">
        <v>0</v>
      </c>
      <c r="AX26" s="112">
        <v>-131.75</v>
      </c>
      <c r="AY26" s="112">
        <v>48</v>
      </c>
      <c r="AZ26" s="112">
        <v>0</v>
      </c>
      <c r="BA26" s="112">
        <v>63899</v>
      </c>
      <c r="BB26" s="112">
        <v>25590</v>
      </c>
      <c r="BC26" s="113">
        <v>0</v>
      </c>
      <c r="BD26" s="112">
        <v>-71786</v>
      </c>
      <c r="BE26" s="112">
        <v>-13195</v>
      </c>
      <c r="BF26" s="112">
        <v>0</v>
      </c>
      <c r="BG26" s="112">
        <v>-4349</v>
      </c>
      <c r="BH26" s="112">
        <v>-4649</v>
      </c>
      <c r="BI26" s="112">
        <v>0</v>
      </c>
      <c r="BJ26" s="112">
        <v>29.799999999999997</v>
      </c>
      <c r="BK26" s="112">
        <v>24.9</v>
      </c>
      <c r="BL26" s="112">
        <v>0</v>
      </c>
      <c r="BM26" s="112">
        <v>902.2</v>
      </c>
      <c r="BN26" s="112">
        <v>375.4</v>
      </c>
      <c r="BO26" s="113">
        <v>0</v>
      </c>
      <c r="BV26" s="47"/>
      <c r="BX26" s="68" t="s">
        <v>33</v>
      </c>
      <c r="BY26" s="114" t="s">
        <v>34</v>
      </c>
      <c r="BZ26" s="115" t="s">
        <v>35</v>
      </c>
      <c r="CA26" s="115" t="s">
        <v>36</v>
      </c>
      <c r="CB26" s="115" t="s">
        <v>34</v>
      </c>
      <c r="CC26" s="115" t="s">
        <v>35</v>
      </c>
      <c r="CD26" s="115" t="s">
        <v>36</v>
      </c>
      <c r="CE26" s="115" t="s">
        <v>34</v>
      </c>
      <c r="CF26" s="115" t="s">
        <v>35</v>
      </c>
      <c r="CG26" s="115" t="s">
        <v>36</v>
      </c>
      <c r="CH26" s="115"/>
      <c r="CI26" s="115"/>
      <c r="CJ26" s="115"/>
      <c r="CO26" s="74"/>
      <c r="CX26" s="39"/>
      <c r="CY26" s="49">
        <v>0</v>
      </c>
      <c r="CZ26" s="51">
        <v>0</v>
      </c>
      <c r="DA26" s="52">
        <v>0</v>
      </c>
      <c r="DB26" s="52">
        <v>0</v>
      </c>
      <c r="DC26" s="53">
        <v>0</v>
      </c>
      <c r="DD26" s="50">
        <v>0</v>
      </c>
      <c r="DE26" s="51">
        <v>0</v>
      </c>
      <c r="DF26" s="52">
        <v>0</v>
      </c>
      <c r="DG26" s="52">
        <v>0</v>
      </c>
      <c r="DH26" s="53">
        <v>0</v>
      </c>
      <c r="DI26" s="54">
        <v>0</v>
      </c>
      <c r="DL26" s="39"/>
      <c r="DM26" s="49">
        <v>0</v>
      </c>
      <c r="DN26" s="51">
        <v>0</v>
      </c>
      <c r="DO26" s="52">
        <v>0</v>
      </c>
      <c r="DP26" s="52">
        <v>0</v>
      </c>
      <c r="DQ26" s="53">
        <v>0</v>
      </c>
      <c r="DR26" s="50">
        <v>0</v>
      </c>
      <c r="DS26" s="51">
        <v>0</v>
      </c>
      <c r="DT26" s="52">
        <v>0</v>
      </c>
      <c r="DU26" s="52">
        <v>0</v>
      </c>
      <c r="DV26" s="53">
        <v>0</v>
      </c>
      <c r="DW26" s="54">
        <v>0</v>
      </c>
      <c r="EA26"/>
      <c r="EB26"/>
      <c r="EC26"/>
      <c r="EF26" s="55" t="s">
        <v>67</v>
      </c>
      <c r="EG26" s="5" t="e">
        <v>#N/A</v>
      </c>
    </row>
    <row r="27" spans="1:137" ht="14.4" x14ac:dyDescent="0.3">
      <c r="A27" s="105" t="s">
        <v>49</v>
      </c>
      <c r="B27" s="52">
        <v>2731.5000000000005</v>
      </c>
      <c r="C27" s="52">
        <v>1999.1000000000001</v>
      </c>
      <c r="D27" s="52"/>
      <c r="E27" s="106">
        <v>10461</v>
      </c>
      <c r="F27" s="111">
        <v>0.45221298155052103</v>
      </c>
      <c r="G27" s="51">
        <v>1393.7500000000005</v>
      </c>
      <c r="H27" s="52">
        <v>1001.1000000000001</v>
      </c>
      <c r="I27" s="52"/>
      <c r="J27" s="106">
        <v>6061</v>
      </c>
      <c r="K27" s="111">
        <v>0.39512456690315134</v>
      </c>
      <c r="L27" s="51">
        <v>-101143.60000000003</v>
      </c>
      <c r="M27" s="52">
        <v>124327.90000000001</v>
      </c>
      <c r="N27" s="106"/>
      <c r="O27" s="106">
        <v>426957</v>
      </c>
      <c r="P27" s="101">
        <v>5.430125281937051E-2</v>
      </c>
      <c r="Q27" s="51">
        <v>43175614.203300007</v>
      </c>
      <c r="R27" s="52"/>
      <c r="S27" s="106"/>
      <c r="T27" s="106">
        <v>132595313</v>
      </c>
      <c r="U27" s="101">
        <v>0.32561945989222113</v>
      </c>
      <c r="V27" s="52">
        <v>22985.5</v>
      </c>
      <c r="W27" s="52">
        <v>-1504</v>
      </c>
      <c r="X27" s="52"/>
      <c r="Y27" s="106">
        <v>71220</v>
      </c>
      <c r="Z27" s="101">
        <v>0.30162173546756527</v>
      </c>
      <c r="AB27" s="38">
        <v>43175614.203300007</v>
      </c>
      <c r="AG27" s="38">
        <v>-393.8499999999998</v>
      </c>
      <c r="AN27" s="13"/>
      <c r="AQ27" s="72" t="s">
        <v>47</v>
      </c>
      <c r="AR27" s="112">
        <v>818.15</v>
      </c>
      <c r="AS27" s="73">
        <v>617.30000000000007</v>
      </c>
      <c r="AT27" s="113">
        <v>0</v>
      </c>
      <c r="AU27" s="112">
        <v>-1073.5999999999999</v>
      </c>
      <c r="AV27" s="73">
        <v>-644.19999999999993</v>
      </c>
      <c r="AW27" s="73">
        <v>0</v>
      </c>
      <c r="AX27" s="112">
        <v>-150.5</v>
      </c>
      <c r="AY27" s="112">
        <v>39</v>
      </c>
      <c r="AZ27" s="112">
        <v>0</v>
      </c>
      <c r="BA27" s="112">
        <v>2028056.6</v>
      </c>
      <c r="BB27" s="112">
        <v>1920927</v>
      </c>
      <c r="BC27" s="113">
        <v>0</v>
      </c>
      <c r="BD27" s="112">
        <v>-254943.6</v>
      </c>
      <c r="BE27" s="112">
        <v>-149817.20000000001</v>
      </c>
      <c r="BF27" s="112">
        <v>0</v>
      </c>
      <c r="BG27" s="112">
        <v>51141.32</v>
      </c>
      <c r="BH27" s="112">
        <v>95926.560000000012</v>
      </c>
      <c r="BI27" s="112">
        <v>0</v>
      </c>
      <c r="BJ27" s="112">
        <v>113.7</v>
      </c>
      <c r="BK27" s="112">
        <v>0</v>
      </c>
      <c r="BL27" s="112">
        <v>0</v>
      </c>
      <c r="BM27" s="112">
        <v>10</v>
      </c>
      <c r="BN27" s="112">
        <v>4</v>
      </c>
      <c r="BO27" s="113">
        <v>0</v>
      </c>
      <c r="BV27" s="47"/>
      <c r="BX27" s="72" t="s">
        <v>38</v>
      </c>
      <c r="BY27" s="73">
        <v>43</v>
      </c>
      <c r="BZ27" s="73">
        <v>0</v>
      </c>
      <c r="CA27" s="73">
        <v>43</v>
      </c>
      <c r="CB27" s="73">
        <v>27</v>
      </c>
      <c r="CC27" s="73">
        <v>0</v>
      </c>
      <c r="CD27" s="73">
        <v>27</v>
      </c>
      <c r="CE27" s="73">
        <v>67</v>
      </c>
      <c r="CF27" s="73">
        <v>0</v>
      </c>
      <c r="CG27" s="73">
        <v>67</v>
      </c>
      <c r="CH27" s="73">
        <v>137</v>
      </c>
      <c r="CI27" s="73">
        <v>0</v>
      </c>
      <c r="CJ27" s="73">
        <v>137</v>
      </c>
      <c r="CO27" s="74"/>
      <c r="CX27" s="39"/>
      <c r="CY27" s="49">
        <v>0</v>
      </c>
      <c r="CZ27" s="51">
        <v>0</v>
      </c>
      <c r="DA27" s="52">
        <v>0</v>
      </c>
      <c r="DB27" s="52">
        <v>0</v>
      </c>
      <c r="DC27" s="53">
        <v>0</v>
      </c>
      <c r="DD27" s="50">
        <v>0</v>
      </c>
      <c r="DE27" s="51">
        <v>0</v>
      </c>
      <c r="DF27" s="52">
        <v>0</v>
      </c>
      <c r="DG27" s="52">
        <v>0</v>
      </c>
      <c r="DH27" s="53">
        <v>0</v>
      </c>
      <c r="DI27" s="54">
        <v>0</v>
      </c>
      <c r="DL27" s="39"/>
      <c r="DM27" s="49">
        <v>0</v>
      </c>
      <c r="DN27" s="51">
        <v>0</v>
      </c>
      <c r="DO27" s="52">
        <v>0</v>
      </c>
      <c r="DP27" s="52">
        <v>0</v>
      </c>
      <c r="DQ27" s="53">
        <v>0</v>
      </c>
      <c r="DR27" s="50">
        <v>0</v>
      </c>
      <c r="DS27" s="51">
        <v>0</v>
      </c>
      <c r="DT27" s="52">
        <v>0</v>
      </c>
      <c r="DU27" s="52">
        <v>0</v>
      </c>
      <c r="DV27" s="53">
        <v>0</v>
      </c>
      <c r="DW27" s="54">
        <v>0</v>
      </c>
      <c r="EA27"/>
      <c r="EB27"/>
      <c r="EC27"/>
      <c r="EF27" s="45" t="s">
        <v>68</v>
      </c>
      <c r="EG27" s="5" t="e">
        <v>#N/A</v>
      </c>
    </row>
    <row r="28" spans="1:137" ht="15" thickBot="1" x14ac:dyDescent="0.35">
      <c r="A28" s="116" t="s">
        <v>39</v>
      </c>
      <c r="B28" s="64">
        <v>2461.4499999999998</v>
      </c>
      <c r="C28" s="64">
        <v>1262.75</v>
      </c>
      <c r="D28" s="64"/>
      <c r="E28" s="117">
        <v>13214</v>
      </c>
      <c r="F28" s="118">
        <v>0.28183744513394882</v>
      </c>
      <c r="G28" s="63">
        <v>-2788.6500000000015</v>
      </c>
      <c r="H28" s="64">
        <v>389.9</v>
      </c>
      <c r="I28" s="64"/>
      <c r="J28" s="117">
        <v>6214</v>
      </c>
      <c r="K28" s="118">
        <v>0</v>
      </c>
      <c r="L28" s="63">
        <v>165932</v>
      </c>
      <c r="M28" s="64">
        <v>165378</v>
      </c>
      <c r="N28" s="117"/>
      <c r="O28" s="117">
        <v>323236</v>
      </c>
      <c r="P28" s="119">
        <v>1.024978653367818</v>
      </c>
      <c r="Q28" s="63">
        <v>26354341.555299997</v>
      </c>
      <c r="R28" s="64"/>
      <c r="S28" s="117"/>
      <c r="T28" s="117">
        <v>83053447</v>
      </c>
      <c r="U28" s="119">
        <v>0.31731785383091921</v>
      </c>
      <c r="V28" s="64">
        <v>34648</v>
      </c>
      <c r="W28" s="64">
        <v>27055</v>
      </c>
      <c r="X28" s="64"/>
      <c r="Y28" s="117">
        <v>64190</v>
      </c>
      <c r="Z28" s="119">
        <v>0.96125564729708679</v>
      </c>
      <c r="AB28" s="38">
        <v>26354341.555299997</v>
      </c>
      <c r="AG28" s="38">
        <v>2394.8500000000004</v>
      </c>
      <c r="AN28" s="13"/>
      <c r="AQ28" s="72" t="s">
        <v>49</v>
      </c>
      <c r="AR28" s="112">
        <v>2731.5000000000005</v>
      </c>
      <c r="AS28" s="73">
        <v>1999.1000000000001</v>
      </c>
      <c r="AT28" s="113">
        <v>0</v>
      </c>
      <c r="AU28" s="112">
        <v>-1525</v>
      </c>
      <c r="AV28" s="73">
        <v>-1024.75</v>
      </c>
      <c r="AW28" s="73">
        <v>0</v>
      </c>
      <c r="AX28" s="112">
        <v>187.25</v>
      </c>
      <c r="AY28" s="112">
        <v>26.75</v>
      </c>
      <c r="AZ28" s="112">
        <v>0</v>
      </c>
      <c r="BA28" s="112">
        <v>155449.20000000001</v>
      </c>
      <c r="BB28" s="112">
        <v>191194.7</v>
      </c>
      <c r="BC28" s="113">
        <v>0</v>
      </c>
      <c r="BD28" s="112">
        <v>-265858.80000000005</v>
      </c>
      <c r="BE28" s="112">
        <v>-79408.800000000003</v>
      </c>
      <c r="BF28" s="112">
        <v>0</v>
      </c>
      <c r="BG28" s="112">
        <v>9266</v>
      </c>
      <c r="BH28" s="112">
        <v>12542</v>
      </c>
      <c r="BI28" s="112">
        <v>0</v>
      </c>
      <c r="BJ28" s="112">
        <v>125</v>
      </c>
      <c r="BK28" s="112">
        <v>109.9</v>
      </c>
      <c r="BL28" s="112">
        <v>0</v>
      </c>
      <c r="BM28" s="112">
        <v>106.4</v>
      </c>
      <c r="BN28" s="112">
        <v>78</v>
      </c>
      <c r="BO28" s="113">
        <v>0</v>
      </c>
      <c r="BV28" s="47"/>
      <c r="BX28" s="72" t="s">
        <v>41</v>
      </c>
      <c r="BY28" s="73">
        <v>8</v>
      </c>
      <c r="BZ28" s="73">
        <v>0</v>
      </c>
      <c r="CA28" s="73">
        <v>8</v>
      </c>
      <c r="CB28" s="73">
        <v>3</v>
      </c>
      <c r="CC28" s="73">
        <v>0</v>
      </c>
      <c r="CD28" s="73">
        <v>3</v>
      </c>
      <c r="CE28" s="73">
        <v>9</v>
      </c>
      <c r="CF28" s="73">
        <v>0</v>
      </c>
      <c r="CG28" s="73">
        <v>9</v>
      </c>
      <c r="CH28" s="73">
        <v>20</v>
      </c>
      <c r="CI28" s="73">
        <v>0</v>
      </c>
      <c r="CJ28" s="73">
        <v>20</v>
      </c>
      <c r="CO28" s="74"/>
      <c r="CX28" s="39"/>
      <c r="CY28" s="49">
        <v>0</v>
      </c>
      <c r="CZ28" s="51">
        <v>0</v>
      </c>
      <c r="DA28" s="52">
        <v>0</v>
      </c>
      <c r="DB28" s="52">
        <v>0</v>
      </c>
      <c r="DC28" s="53">
        <v>0</v>
      </c>
      <c r="DD28" s="50">
        <v>0</v>
      </c>
      <c r="DE28" s="51">
        <v>0</v>
      </c>
      <c r="DF28" s="52">
        <v>0</v>
      </c>
      <c r="DG28" s="52">
        <v>0</v>
      </c>
      <c r="DH28" s="53">
        <v>0</v>
      </c>
      <c r="DI28" s="54">
        <v>0</v>
      </c>
      <c r="DL28" s="39"/>
      <c r="DM28" s="49">
        <v>0</v>
      </c>
      <c r="DN28" s="51">
        <v>0</v>
      </c>
      <c r="DO28" s="52">
        <v>0</v>
      </c>
      <c r="DP28" s="52">
        <v>0</v>
      </c>
      <c r="DQ28" s="53">
        <v>0</v>
      </c>
      <c r="DR28" s="50">
        <v>0</v>
      </c>
      <c r="DS28" s="51">
        <v>0</v>
      </c>
      <c r="DT28" s="52">
        <v>0</v>
      </c>
      <c r="DU28" s="52">
        <v>0</v>
      </c>
      <c r="DV28" s="53">
        <v>0</v>
      </c>
      <c r="DW28" s="54">
        <v>0</v>
      </c>
      <c r="EA28"/>
      <c r="EB28"/>
      <c r="EC28"/>
      <c r="EF28" s="55" t="s">
        <v>69</v>
      </c>
      <c r="EG28" s="5" t="e">
        <v>#N/A</v>
      </c>
    </row>
    <row r="29" spans="1:137" ht="15.6" thickTop="1" thickBot="1" x14ac:dyDescent="0.35">
      <c r="B29" s="78"/>
      <c r="C29" s="78"/>
      <c r="D29" s="78"/>
      <c r="J29" s="38">
        <v>0.57192928559459311</v>
      </c>
      <c r="L29" s="120"/>
      <c r="M29" s="120"/>
      <c r="AG29" s="38">
        <v>-2398.7500000000014</v>
      </c>
      <c r="AN29" s="13"/>
      <c r="AQ29" s="72" t="s">
        <v>39</v>
      </c>
      <c r="AR29" s="112">
        <v>2461.4499999999998</v>
      </c>
      <c r="AS29" s="73">
        <v>1262.75</v>
      </c>
      <c r="AT29" s="113">
        <v>0</v>
      </c>
      <c r="AU29" s="112">
        <v>-5259.1000000000013</v>
      </c>
      <c r="AV29" s="73">
        <v>-818.6</v>
      </c>
      <c r="AW29" s="73">
        <v>0</v>
      </c>
      <c r="AX29" s="112">
        <v>9</v>
      </c>
      <c r="AY29" s="112">
        <v>-54.25</v>
      </c>
      <c r="AZ29" s="112">
        <v>0</v>
      </c>
      <c r="BA29" s="112">
        <v>246255</v>
      </c>
      <c r="BB29" s="112">
        <v>214009</v>
      </c>
      <c r="BC29" s="113">
        <v>0</v>
      </c>
      <c r="BD29" s="112">
        <v>-121609</v>
      </c>
      <c r="BE29" s="112">
        <v>-45631</v>
      </c>
      <c r="BF29" s="112">
        <v>0</v>
      </c>
      <c r="BG29" s="112">
        <v>41286</v>
      </c>
      <c r="BH29" s="112">
        <v>-3000</v>
      </c>
      <c r="BI29" s="112">
        <v>0</v>
      </c>
      <c r="BJ29" s="112">
        <v>39.5</v>
      </c>
      <c r="BK29" s="112">
        <v>35.200000000000003</v>
      </c>
      <c r="BL29" s="112">
        <v>0</v>
      </c>
      <c r="BM29" s="112">
        <v>479.3</v>
      </c>
      <c r="BN29" s="112">
        <v>61.3</v>
      </c>
      <c r="BO29" s="113">
        <v>0</v>
      </c>
      <c r="BV29" s="47"/>
      <c r="BX29" s="72" t="s">
        <v>43</v>
      </c>
      <c r="BY29" s="73">
        <v>51</v>
      </c>
      <c r="BZ29" s="73">
        <v>0</v>
      </c>
      <c r="CA29" s="73">
        <v>51</v>
      </c>
      <c r="CB29" s="73">
        <v>1</v>
      </c>
      <c r="CC29" s="73">
        <v>0</v>
      </c>
      <c r="CD29" s="73">
        <v>1</v>
      </c>
      <c r="CE29" s="73">
        <v>75</v>
      </c>
      <c r="CF29" s="73">
        <v>0</v>
      </c>
      <c r="CG29" s="73">
        <v>75</v>
      </c>
      <c r="CH29" s="73">
        <v>127</v>
      </c>
      <c r="CI29" s="73">
        <v>0</v>
      </c>
      <c r="CJ29" s="73">
        <v>127</v>
      </c>
      <c r="CO29" s="74"/>
      <c r="CX29" s="39"/>
      <c r="CY29" s="49">
        <v>0</v>
      </c>
      <c r="CZ29" s="51">
        <v>0</v>
      </c>
      <c r="DA29" s="52">
        <v>0</v>
      </c>
      <c r="DB29" s="52">
        <v>0</v>
      </c>
      <c r="DC29" s="53">
        <v>0</v>
      </c>
      <c r="DD29" s="50">
        <v>0</v>
      </c>
      <c r="DE29" s="51">
        <v>0</v>
      </c>
      <c r="DF29" s="52">
        <v>0</v>
      </c>
      <c r="DG29" s="52">
        <v>0</v>
      </c>
      <c r="DH29" s="53">
        <v>0</v>
      </c>
      <c r="DI29" s="54">
        <v>0</v>
      </c>
      <c r="DL29" s="39"/>
      <c r="DM29" s="49">
        <v>0</v>
      </c>
      <c r="DN29" s="63">
        <v>0</v>
      </c>
      <c r="DO29" s="64">
        <v>0</v>
      </c>
      <c r="DP29" s="64">
        <v>0</v>
      </c>
      <c r="DQ29" s="65">
        <v>0</v>
      </c>
      <c r="DR29" s="62">
        <v>0</v>
      </c>
      <c r="DS29" s="63">
        <v>0</v>
      </c>
      <c r="DT29" s="64">
        <v>0</v>
      </c>
      <c r="DU29" s="64">
        <v>0</v>
      </c>
      <c r="DV29" s="65">
        <v>0</v>
      </c>
      <c r="DW29" s="66">
        <v>0</v>
      </c>
      <c r="EA29"/>
      <c r="EF29" s="45" t="s">
        <v>70</v>
      </c>
      <c r="EG29" s="5" t="e">
        <v>#N/A</v>
      </c>
    </row>
    <row r="30" spans="1:137" ht="15.6" thickTop="1" thickBot="1" x14ac:dyDescent="0.35">
      <c r="B30" s="78"/>
      <c r="C30" s="78"/>
      <c r="D30" s="78"/>
      <c r="L30" s="120"/>
      <c r="M30" s="120"/>
      <c r="AN30" s="13"/>
      <c r="AQ30" s="88" t="s">
        <v>59</v>
      </c>
      <c r="AR30" s="121">
        <v>72.45</v>
      </c>
      <c r="AS30" s="122">
        <v>31.6</v>
      </c>
      <c r="AT30" s="123">
        <v>0</v>
      </c>
      <c r="AU30" s="121">
        <v>-753.65</v>
      </c>
      <c r="AV30" s="122">
        <v>-514.1</v>
      </c>
      <c r="AW30" s="122">
        <v>0</v>
      </c>
      <c r="AX30" s="121">
        <v>0</v>
      </c>
      <c r="AY30" s="121">
        <v>0</v>
      </c>
      <c r="AZ30" s="121">
        <v>0</v>
      </c>
      <c r="BA30" s="121">
        <v>0</v>
      </c>
      <c r="BB30" s="121">
        <v>0</v>
      </c>
      <c r="BC30" s="123">
        <v>0</v>
      </c>
      <c r="BD30" s="121">
        <v>0</v>
      </c>
      <c r="BE30" s="121">
        <v>0</v>
      </c>
      <c r="BF30" s="121">
        <v>0</v>
      </c>
      <c r="BG30" s="121">
        <v>0</v>
      </c>
      <c r="BH30" s="121">
        <v>0</v>
      </c>
      <c r="BI30" s="121">
        <v>0</v>
      </c>
      <c r="BJ30" s="121">
        <v>0</v>
      </c>
      <c r="BK30" s="121">
        <v>0</v>
      </c>
      <c r="BL30" s="121">
        <v>0</v>
      </c>
      <c r="BM30" s="121">
        <v>143.4</v>
      </c>
      <c r="BN30" s="121">
        <v>65.400000000000006</v>
      </c>
      <c r="BO30" s="123">
        <v>0</v>
      </c>
      <c r="BV30" s="47"/>
      <c r="BX30" s="72" t="s">
        <v>45</v>
      </c>
      <c r="BY30" s="73">
        <v>216</v>
      </c>
      <c r="BZ30" s="73">
        <v>0</v>
      </c>
      <c r="CA30" s="73">
        <v>216</v>
      </c>
      <c r="CB30" s="73">
        <v>168</v>
      </c>
      <c r="CC30" s="73">
        <v>0</v>
      </c>
      <c r="CD30" s="73">
        <v>168</v>
      </c>
      <c r="CE30" s="73">
        <v>633</v>
      </c>
      <c r="CF30" s="73">
        <v>0</v>
      </c>
      <c r="CG30" s="73">
        <v>633</v>
      </c>
      <c r="CH30" s="73">
        <v>1017</v>
      </c>
      <c r="CI30" s="73">
        <v>0</v>
      </c>
      <c r="CJ30" s="73">
        <v>1017</v>
      </c>
      <c r="CO30" s="74"/>
      <c r="CW30" s="38">
        <v>0</v>
      </c>
      <c r="CX30" s="39" t="s">
        <v>47</v>
      </c>
      <c r="CY30" s="41">
        <v>0</v>
      </c>
      <c r="CZ30" s="40">
        <v>0</v>
      </c>
      <c r="DA30" s="41">
        <v>0</v>
      </c>
      <c r="DB30" s="41">
        <v>0</v>
      </c>
      <c r="DC30" s="42">
        <v>0</v>
      </c>
      <c r="DD30" s="44">
        <v>0</v>
      </c>
      <c r="DE30" s="40">
        <v>0</v>
      </c>
      <c r="DF30" s="41">
        <v>0</v>
      </c>
      <c r="DG30" s="41">
        <v>0</v>
      </c>
      <c r="DH30" s="42">
        <v>0</v>
      </c>
      <c r="DI30" s="44">
        <v>0</v>
      </c>
      <c r="DL30" s="39" t="s">
        <v>47</v>
      </c>
      <c r="DM30" s="41">
        <v>0</v>
      </c>
      <c r="DN30" s="51">
        <v>0</v>
      </c>
      <c r="DO30" s="52">
        <v>0</v>
      </c>
      <c r="DP30" s="52">
        <v>0</v>
      </c>
      <c r="DQ30" s="53">
        <v>0</v>
      </c>
      <c r="DR30" s="50">
        <v>0</v>
      </c>
      <c r="DS30" s="51">
        <v>0</v>
      </c>
      <c r="DT30" s="52">
        <v>0</v>
      </c>
      <c r="DU30" s="52">
        <v>0</v>
      </c>
      <c r="DV30" s="53">
        <v>0</v>
      </c>
      <c r="DW30" s="54">
        <v>0</v>
      </c>
      <c r="EA30"/>
      <c r="EF30" s="55" t="s">
        <v>71</v>
      </c>
      <c r="EG30" s="5" t="e">
        <v>#N/A</v>
      </c>
    </row>
    <row r="31" spans="1:137" ht="15.6" thickTop="1" thickBot="1" x14ac:dyDescent="0.35">
      <c r="A31" s="179" t="s">
        <v>7</v>
      </c>
      <c r="B31" s="80" t="s">
        <v>72</v>
      </c>
      <c r="C31" s="80"/>
      <c r="D31" s="80"/>
      <c r="E31" s="80"/>
      <c r="F31" s="80"/>
      <c r="G31" s="81" t="s">
        <v>73</v>
      </c>
      <c r="H31" s="80"/>
      <c r="I31" s="80"/>
      <c r="J31" s="80"/>
      <c r="K31" s="80"/>
      <c r="L31" s="81" t="s">
        <v>74</v>
      </c>
      <c r="M31" s="80"/>
      <c r="N31" s="80"/>
      <c r="O31" s="80"/>
      <c r="P31" s="82"/>
      <c r="Q31" s="81" t="s">
        <v>75</v>
      </c>
      <c r="R31" s="80"/>
      <c r="S31" s="80"/>
      <c r="T31" s="80"/>
      <c r="U31" s="82"/>
      <c r="AN31" s="13"/>
      <c r="AV31" s="74"/>
      <c r="AY31" s="38"/>
      <c r="BC31" s="74"/>
      <c r="BD31" s="74"/>
      <c r="BO31" s="74"/>
      <c r="BP31" s="74"/>
      <c r="BR31" s="74"/>
      <c r="BS31" s="74"/>
      <c r="BV31" s="47"/>
      <c r="BX31" s="72" t="s">
        <v>47</v>
      </c>
      <c r="BY31" s="73">
        <v>164</v>
      </c>
      <c r="BZ31" s="73">
        <v>0</v>
      </c>
      <c r="CA31" s="73">
        <v>164</v>
      </c>
      <c r="CB31" s="73">
        <v>4</v>
      </c>
      <c r="CC31" s="73">
        <v>0</v>
      </c>
      <c r="CD31" s="73">
        <v>4</v>
      </c>
      <c r="CE31" s="73">
        <v>10</v>
      </c>
      <c r="CF31" s="73">
        <v>0</v>
      </c>
      <c r="CG31" s="73">
        <v>10</v>
      </c>
      <c r="CH31" s="73">
        <v>178</v>
      </c>
      <c r="CI31" s="73">
        <v>0</v>
      </c>
      <c r="CJ31" s="73">
        <v>178</v>
      </c>
      <c r="CK31" s="74"/>
      <c r="CX31" s="39"/>
      <c r="CY31" s="49">
        <v>0</v>
      </c>
      <c r="CZ31" s="51">
        <v>0</v>
      </c>
      <c r="DA31" s="52">
        <v>0</v>
      </c>
      <c r="DB31" s="52">
        <v>0</v>
      </c>
      <c r="DC31" s="53">
        <v>0</v>
      </c>
      <c r="DD31" s="50">
        <v>0</v>
      </c>
      <c r="DE31" s="51">
        <v>0</v>
      </c>
      <c r="DF31" s="52">
        <v>0</v>
      </c>
      <c r="DG31" s="52">
        <v>0</v>
      </c>
      <c r="DH31" s="53">
        <v>0</v>
      </c>
      <c r="DI31" s="54">
        <v>0</v>
      </c>
      <c r="DL31" s="39"/>
      <c r="DM31" s="49">
        <v>0</v>
      </c>
      <c r="DN31" s="51">
        <v>0</v>
      </c>
      <c r="DO31" s="52">
        <v>0</v>
      </c>
      <c r="DP31" s="52">
        <v>0</v>
      </c>
      <c r="DQ31" s="53">
        <v>0</v>
      </c>
      <c r="DR31" s="50">
        <v>0</v>
      </c>
      <c r="DS31" s="51">
        <v>0</v>
      </c>
      <c r="DT31" s="52">
        <v>0</v>
      </c>
      <c r="DU31" s="52">
        <v>0</v>
      </c>
      <c r="DV31" s="53">
        <v>0</v>
      </c>
      <c r="DW31" s="54">
        <v>0</v>
      </c>
      <c r="EA31"/>
      <c r="EF31" s="79" t="s">
        <v>76</v>
      </c>
      <c r="EG31" s="5" t="e">
        <v>#N/A</v>
      </c>
    </row>
    <row r="32" spans="1:137" ht="15" thickTop="1" x14ac:dyDescent="0.3">
      <c r="A32" s="180"/>
      <c r="B32" s="83" t="s">
        <v>56</v>
      </c>
      <c r="C32" s="83"/>
      <c r="D32" s="83"/>
      <c r="E32" s="84" t="s">
        <v>57</v>
      </c>
      <c r="F32" s="85" t="s">
        <v>58</v>
      </c>
      <c r="G32" s="86" t="s">
        <v>56</v>
      </c>
      <c r="H32" s="83"/>
      <c r="I32" s="83"/>
      <c r="J32" s="84" t="s">
        <v>57</v>
      </c>
      <c r="K32" s="85" t="s">
        <v>58</v>
      </c>
      <c r="L32" s="86" t="s">
        <v>56</v>
      </c>
      <c r="M32" s="83"/>
      <c r="N32" s="83"/>
      <c r="O32" s="84" t="s">
        <v>57</v>
      </c>
      <c r="P32" s="85" t="s">
        <v>58</v>
      </c>
      <c r="Q32" s="86" t="s">
        <v>56</v>
      </c>
      <c r="R32" s="83"/>
      <c r="S32" s="83"/>
      <c r="T32" s="84" t="s">
        <v>57</v>
      </c>
      <c r="U32" s="87" t="s">
        <v>58</v>
      </c>
      <c r="AN32" s="13"/>
      <c r="AX32" s="38"/>
      <c r="BA32" s="38"/>
      <c r="BC32" s="124"/>
      <c r="BD32" s="124"/>
      <c r="BE32" s="12"/>
      <c r="BF32" s="12"/>
      <c r="BG32" s="12"/>
      <c r="BH32" s="12"/>
      <c r="BI32" s="12"/>
      <c r="BJ32" s="12"/>
      <c r="BK32" s="12"/>
      <c r="BL32" s="12"/>
      <c r="BM32" s="125" t="e">
        <v>#REF!</v>
      </c>
      <c r="BV32" s="47"/>
      <c r="BX32" s="72" t="s">
        <v>49</v>
      </c>
      <c r="BY32" s="73">
        <v>428</v>
      </c>
      <c r="BZ32" s="73">
        <v>0</v>
      </c>
      <c r="CA32" s="73">
        <v>428</v>
      </c>
      <c r="CB32" s="73">
        <v>178</v>
      </c>
      <c r="CC32" s="73">
        <v>0</v>
      </c>
      <c r="CD32" s="73">
        <v>178</v>
      </c>
      <c r="CE32" s="73">
        <v>35</v>
      </c>
      <c r="CF32" s="73">
        <v>0</v>
      </c>
      <c r="CG32" s="73">
        <v>35</v>
      </c>
      <c r="CH32" s="73">
        <v>641</v>
      </c>
      <c r="CI32" s="73">
        <v>0</v>
      </c>
      <c r="CJ32" s="73">
        <v>641</v>
      </c>
      <c r="CK32" s="74"/>
      <c r="CX32" s="39"/>
      <c r="CY32" s="49">
        <v>0</v>
      </c>
      <c r="CZ32" s="51"/>
      <c r="DA32" s="52"/>
      <c r="DB32" s="52"/>
      <c r="DC32" s="53"/>
      <c r="DD32" s="50"/>
      <c r="DE32" s="51"/>
      <c r="DF32" s="52"/>
      <c r="DG32" s="52"/>
      <c r="DH32" s="53"/>
      <c r="DI32" s="54"/>
      <c r="DL32" s="39"/>
      <c r="DM32" s="49">
        <v>0</v>
      </c>
      <c r="DN32" s="51">
        <v>0</v>
      </c>
      <c r="DO32" s="52">
        <v>0</v>
      </c>
      <c r="DP32" s="52">
        <v>0</v>
      </c>
      <c r="DQ32" s="53">
        <v>0</v>
      </c>
      <c r="DR32" s="50">
        <v>0</v>
      </c>
      <c r="DS32" s="51">
        <v>0</v>
      </c>
      <c r="DT32" s="52">
        <v>0</v>
      </c>
      <c r="DU32" s="52">
        <v>0</v>
      </c>
      <c r="DV32" s="53">
        <v>0</v>
      </c>
      <c r="DW32" s="54">
        <v>0</v>
      </c>
      <c r="EA32"/>
      <c r="EF32" s="55" t="s">
        <v>77</v>
      </c>
      <c r="EG32" s="5" t="e">
        <v>#N/A</v>
      </c>
    </row>
    <row r="33" spans="1:137" ht="15" thickBot="1" x14ac:dyDescent="0.35">
      <c r="A33" s="181"/>
      <c r="B33" s="89">
        <v>46204</v>
      </c>
      <c r="C33" s="29">
        <v>46235</v>
      </c>
      <c r="D33" s="29">
        <v>46266</v>
      </c>
      <c r="E33" s="90" t="s">
        <v>119</v>
      </c>
      <c r="F33" s="91" t="s">
        <v>0</v>
      </c>
      <c r="G33" s="92">
        <v>46204</v>
      </c>
      <c r="H33" s="29">
        <v>46235</v>
      </c>
      <c r="I33" s="29">
        <v>46266</v>
      </c>
      <c r="J33" s="90" t="s">
        <v>119</v>
      </c>
      <c r="K33" s="91"/>
      <c r="L33" s="92">
        <v>46204</v>
      </c>
      <c r="M33" s="29">
        <v>46235</v>
      </c>
      <c r="N33" s="29">
        <v>46266</v>
      </c>
      <c r="O33" s="90" t="s">
        <v>119</v>
      </c>
      <c r="P33" s="91"/>
      <c r="Q33" s="92">
        <v>46204</v>
      </c>
      <c r="R33" s="29">
        <v>46235</v>
      </c>
      <c r="S33" s="29">
        <v>46266</v>
      </c>
      <c r="T33" s="90" t="s">
        <v>119</v>
      </c>
      <c r="U33" s="93"/>
      <c r="AA33" s="182" t="s">
        <v>78</v>
      </c>
      <c r="AB33" s="182"/>
      <c r="AC33" s="182"/>
      <c r="AD33" s="182"/>
      <c r="AE33" s="126"/>
      <c r="AF33" s="126"/>
      <c r="AG33" s="126"/>
      <c r="AH33" s="126"/>
      <c r="AI33" s="126"/>
      <c r="AJ33" s="126"/>
      <c r="AK33" s="126"/>
      <c r="AL33" s="126"/>
      <c r="AM33" s="126"/>
      <c r="AN33" s="13"/>
      <c r="AX33" s="127" t="s">
        <v>79</v>
      </c>
      <c r="AY33" s="128">
        <v>0.59</v>
      </c>
      <c r="AZ33" s="127" t="s">
        <v>80</v>
      </c>
      <c r="BA33" s="128">
        <v>0.8</v>
      </c>
      <c r="BV33" s="47"/>
      <c r="BX33" s="72" t="s">
        <v>39</v>
      </c>
      <c r="BY33" s="73">
        <v>595</v>
      </c>
      <c r="BZ33" s="73">
        <v>0</v>
      </c>
      <c r="CA33" s="73">
        <v>595</v>
      </c>
      <c r="CB33" s="73">
        <v>221</v>
      </c>
      <c r="CC33" s="73">
        <v>0</v>
      </c>
      <c r="CD33" s="73">
        <v>221</v>
      </c>
      <c r="CE33" s="73">
        <v>786</v>
      </c>
      <c r="CF33" s="73">
        <v>0</v>
      </c>
      <c r="CG33" s="73">
        <v>786</v>
      </c>
      <c r="CH33" s="73">
        <v>1602</v>
      </c>
      <c r="CI33" s="73">
        <v>0</v>
      </c>
      <c r="CJ33" s="73">
        <v>1602</v>
      </c>
      <c r="CK33" s="74"/>
      <c r="CX33" s="39"/>
      <c r="CY33" s="49">
        <v>0</v>
      </c>
      <c r="CZ33" s="51"/>
      <c r="DA33" s="52"/>
      <c r="DB33" s="52"/>
      <c r="DC33" s="53"/>
      <c r="DD33" s="50"/>
      <c r="DE33" s="51"/>
      <c r="DF33" s="52"/>
      <c r="DG33" s="52"/>
      <c r="DH33" s="53"/>
      <c r="DI33" s="54"/>
      <c r="DL33" s="39"/>
      <c r="DM33" s="49">
        <v>0</v>
      </c>
      <c r="DN33" s="51">
        <v>0</v>
      </c>
      <c r="DO33" s="52">
        <v>0</v>
      </c>
      <c r="DP33" s="52">
        <v>0</v>
      </c>
      <c r="DQ33" s="53">
        <v>0</v>
      </c>
      <c r="DR33" s="50">
        <v>0</v>
      </c>
      <c r="DS33" s="51">
        <v>0</v>
      </c>
      <c r="DT33" s="52">
        <v>0</v>
      </c>
      <c r="DU33" s="52">
        <v>0</v>
      </c>
      <c r="DV33" s="53">
        <v>0</v>
      </c>
      <c r="DW33" s="54">
        <v>0</v>
      </c>
      <c r="EA33"/>
      <c r="EF33" s="45" t="s">
        <v>81</v>
      </c>
      <c r="EG33" s="5" t="e">
        <v>#N/A</v>
      </c>
    </row>
    <row r="34" spans="1:137" ht="15.6" thickTop="1" thickBot="1" x14ac:dyDescent="0.35">
      <c r="A34" s="96" t="s">
        <v>62</v>
      </c>
      <c r="B34" s="41">
        <v>30284</v>
      </c>
      <c r="C34" s="41">
        <v>16069</v>
      </c>
      <c r="D34" s="41"/>
      <c r="E34" s="97">
        <v>69783.271981783182</v>
      </c>
      <c r="F34" s="98">
        <v>0.66424228448474554</v>
      </c>
      <c r="G34" s="99">
        <v>16125</v>
      </c>
      <c r="H34" s="41">
        <v>9965</v>
      </c>
      <c r="I34" s="41"/>
      <c r="J34" s="97">
        <v>17119.98373125718</v>
      </c>
      <c r="K34" s="98">
        <v>1.5239500463055708</v>
      </c>
      <c r="L34" s="99">
        <v>652</v>
      </c>
      <c r="M34" s="41">
        <v>666</v>
      </c>
      <c r="N34" s="41"/>
      <c r="O34" s="97">
        <v>498.14100000000002</v>
      </c>
      <c r="P34" s="98">
        <v>2.6458372227943494</v>
      </c>
      <c r="Q34" s="99">
        <v>315</v>
      </c>
      <c r="R34" s="41">
        <v>392</v>
      </c>
      <c r="S34" s="41"/>
      <c r="T34" s="97">
        <v>147.00000000000003</v>
      </c>
      <c r="U34" s="100">
        <v>4.8095238095238084</v>
      </c>
      <c r="AA34" s="129">
        <v>0</v>
      </c>
      <c r="AB34" s="130" t="s">
        <v>9</v>
      </c>
      <c r="AC34" s="130" t="s">
        <v>10</v>
      </c>
      <c r="AD34" s="130" t="s">
        <v>11</v>
      </c>
      <c r="AE34" s="130" t="s">
        <v>12</v>
      </c>
      <c r="AF34" s="130"/>
      <c r="AG34" s="131"/>
      <c r="AH34" s="131"/>
      <c r="AI34" s="131"/>
      <c r="AJ34" s="131"/>
      <c r="AK34" s="131"/>
      <c r="AL34" s="131"/>
      <c r="AM34" s="131"/>
      <c r="AN34" s="13"/>
      <c r="AQ34" s="132" t="s">
        <v>7</v>
      </c>
      <c r="AR34" s="133" t="s">
        <v>8</v>
      </c>
      <c r="AS34" s="134"/>
      <c r="AT34" s="135"/>
      <c r="AU34" s="133" t="s">
        <v>13</v>
      </c>
      <c r="AV34" s="134"/>
      <c r="AW34" s="135"/>
      <c r="AX34" s="133" t="s">
        <v>14</v>
      </c>
      <c r="AY34" s="134"/>
      <c r="AZ34" s="135"/>
      <c r="BA34" s="35" t="s">
        <v>15</v>
      </c>
      <c r="BB34" s="36"/>
      <c r="BC34" s="37"/>
      <c r="BD34" s="35" t="s">
        <v>16</v>
      </c>
      <c r="BE34" s="36"/>
      <c r="BF34" s="37"/>
      <c r="BV34" s="47"/>
      <c r="BX34" s="88" t="s">
        <v>59</v>
      </c>
      <c r="BY34" s="73">
        <v>0</v>
      </c>
      <c r="BZ34" s="73">
        <v>0</v>
      </c>
      <c r="CA34" s="73">
        <v>0</v>
      </c>
      <c r="CB34" s="73">
        <v>0</v>
      </c>
      <c r="CC34" s="73">
        <v>0</v>
      </c>
      <c r="CD34" s="73">
        <v>0</v>
      </c>
      <c r="CE34" s="73">
        <v>0</v>
      </c>
      <c r="CF34" s="73">
        <v>0</v>
      </c>
      <c r="CG34" s="73">
        <v>0</v>
      </c>
      <c r="CH34" s="73">
        <v>0</v>
      </c>
      <c r="CI34" s="73">
        <v>0</v>
      </c>
      <c r="CJ34" s="73">
        <v>0</v>
      </c>
      <c r="CK34" s="74"/>
      <c r="CX34" s="39"/>
      <c r="CY34" s="49">
        <v>0</v>
      </c>
      <c r="CZ34" s="51"/>
      <c r="DA34" s="52"/>
      <c r="DB34" s="52"/>
      <c r="DC34" s="53"/>
      <c r="DD34" s="50"/>
      <c r="DE34" s="51"/>
      <c r="DF34" s="52"/>
      <c r="DG34" s="52"/>
      <c r="DH34" s="53"/>
      <c r="DI34" s="54"/>
      <c r="DL34" s="39"/>
      <c r="DM34" s="49">
        <v>0</v>
      </c>
      <c r="DN34" s="51">
        <v>0</v>
      </c>
      <c r="DO34" s="52">
        <v>0</v>
      </c>
      <c r="DP34" s="52">
        <v>0</v>
      </c>
      <c r="DQ34" s="53">
        <v>0</v>
      </c>
      <c r="DR34" s="50">
        <v>0</v>
      </c>
      <c r="DS34" s="51">
        <v>0</v>
      </c>
      <c r="DT34" s="52">
        <v>0</v>
      </c>
      <c r="DU34" s="52">
        <v>0</v>
      </c>
      <c r="DV34" s="53">
        <v>0</v>
      </c>
      <c r="DW34" s="54">
        <v>0</v>
      </c>
      <c r="EA34"/>
      <c r="EF34" s="55" t="s">
        <v>82</v>
      </c>
      <c r="EG34" s="5" t="e">
        <v>#N/A</v>
      </c>
    </row>
    <row r="35" spans="1:137" ht="15" thickBot="1" x14ac:dyDescent="0.35">
      <c r="A35" s="105" t="s">
        <v>38</v>
      </c>
      <c r="B35" s="52">
        <v>3973</v>
      </c>
      <c r="C35" s="52">
        <v>1291</v>
      </c>
      <c r="D35" s="52"/>
      <c r="E35" s="52"/>
      <c r="F35" s="107"/>
      <c r="G35" s="51">
        <v>2848</v>
      </c>
      <c r="H35" s="52">
        <v>732</v>
      </c>
      <c r="I35" s="52"/>
      <c r="J35" s="174" t="s">
        <v>136</v>
      </c>
      <c r="K35" s="107"/>
      <c r="L35" s="51">
        <v>72</v>
      </c>
      <c r="M35" s="52">
        <v>60</v>
      </c>
      <c r="N35" s="106"/>
      <c r="O35" s="52"/>
      <c r="P35" s="107"/>
      <c r="Q35" s="51">
        <v>36</v>
      </c>
      <c r="R35" s="52">
        <v>39</v>
      </c>
      <c r="S35" s="106"/>
      <c r="T35" s="52"/>
      <c r="U35" s="107"/>
      <c r="AA35" s="136">
        <v>30</v>
      </c>
      <c r="AB35" s="136">
        <v>5</v>
      </c>
      <c r="AC35" s="136">
        <v>2</v>
      </c>
      <c r="AD35" s="136">
        <v>8</v>
      </c>
      <c r="AE35" s="136">
        <v>15</v>
      </c>
      <c r="AF35" s="137"/>
      <c r="AG35" s="138"/>
      <c r="AH35" s="138"/>
      <c r="AI35" s="138"/>
      <c r="AJ35" s="138"/>
      <c r="AK35" s="138"/>
      <c r="AL35" s="138"/>
      <c r="AM35" s="138"/>
      <c r="AN35" s="13"/>
      <c r="AQ35" s="139"/>
      <c r="AR35" s="103">
        <v>46204</v>
      </c>
      <c r="AS35" s="89">
        <v>46235</v>
      </c>
      <c r="AT35" s="104">
        <v>46266</v>
      </c>
      <c r="AU35" s="103">
        <v>46204</v>
      </c>
      <c r="AV35" s="89">
        <v>46235</v>
      </c>
      <c r="AW35" s="104">
        <v>46266</v>
      </c>
      <c r="AX35" s="103">
        <v>46204</v>
      </c>
      <c r="AY35" s="89">
        <v>46235</v>
      </c>
      <c r="AZ35" s="104">
        <v>46266</v>
      </c>
      <c r="BA35" s="103">
        <v>46204</v>
      </c>
      <c r="BB35" s="89">
        <v>46235</v>
      </c>
      <c r="BC35" s="104">
        <v>46266</v>
      </c>
      <c r="BD35" s="103">
        <v>46204</v>
      </c>
      <c r="BE35" s="89">
        <v>46235</v>
      </c>
      <c r="BF35" s="104">
        <v>46266</v>
      </c>
      <c r="BV35" s="47"/>
      <c r="BX35" s="5" t="s">
        <v>36</v>
      </c>
      <c r="BY35" s="95">
        <v>0</v>
      </c>
      <c r="BZ35" s="95">
        <v>0</v>
      </c>
      <c r="CA35" s="95">
        <v>0</v>
      </c>
      <c r="CB35" s="95">
        <v>0</v>
      </c>
      <c r="CC35" s="95">
        <v>0</v>
      </c>
      <c r="CD35" s="95">
        <v>1505</v>
      </c>
      <c r="CE35" s="95">
        <v>0</v>
      </c>
      <c r="CF35" s="95">
        <v>1505</v>
      </c>
      <c r="CG35" s="95">
        <v>602</v>
      </c>
      <c r="CH35" s="95">
        <v>0</v>
      </c>
      <c r="CI35" s="95">
        <v>602</v>
      </c>
      <c r="CJ35" s="95">
        <v>1615</v>
      </c>
      <c r="CK35" s="74"/>
      <c r="CX35" s="39"/>
      <c r="CY35" s="49">
        <v>0</v>
      </c>
      <c r="CZ35" s="51">
        <v>0</v>
      </c>
      <c r="DA35" s="52">
        <v>0</v>
      </c>
      <c r="DB35" s="52">
        <v>0</v>
      </c>
      <c r="DC35" s="53">
        <v>0</v>
      </c>
      <c r="DD35" s="50">
        <v>0</v>
      </c>
      <c r="DE35" s="51">
        <v>0</v>
      </c>
      <c r="DF35" s="52">
        <v>0</v>
      </c>
      <c r="DG35" s="52">
        <v>0</v>
      </c>
      <c r="DH35" s="53">
        <v>0</v>
      </c>
      <c r="DI35" s="54">
        <v>0</v>
      </c>
      <c r="DL35" s="39"/>
      <c r="DM35" s="49">
        <v>0</v>
      </c>
      <c r="DN35" s="51">
        <v>0</v>
      </c>
      <c r="DO35" s="52">
        <v>0</v>
      </c>
      <c r="DP35" s="52">
        <v>0</v>
      </c>
      <c r="DQ35" s="53">
        <v>0</v>
      </c>
      <c r="DR35" s="50">
        <v>0</v>
      </c>
      <c r="DS35" s="51">
        <v>0</v>
      </c>
      <c r="DT35" s="52">
        <v>0</v>
      </c>
      <c r="DU35" s="52">
        <v>0</v>
      </c>
      <c r="DV35" s="53">
        <v>0</v>
      </c>
      <c r="DW35" s="54">
        <v>0</v>
      </c>
      <c r="EA35"/>
      <c r="EF35" s="45" t="s">
        <v>83</v>
      </c>
      <c r="EG35" s="5" t="e">
        <v>#N/A</v>
      </c>
    </row>
    <row r="36" spans="1:137" ht="15" thickBot="1" x14ac:dyDescent="0.35">
      <c r="A36" s="105" t="s">
        <v>41</v>
      </c>
      <c r="B36" s="52">
        <v>1588</v>
      </c>
      <c r="C36" s="52">
        <v>498</v>
      </c>
      <c r="D36" s="52"/>
      <c r="E36" s="52"/>
      <c r="F36" s="111"/>
      <c r="G36" s="51">
        <v>573</v>
      </c>
      <c r="H36" s="52">
        <v>-30</v>
      </c>
      <c r="I36" s="52"/>
      <c r="J36" s="174" t="s">
        <v>137</v>
      </c>
      <c r="K36" s="111"/>
      <c r="L36" s="51">
        <v>24</v>
      </c>
      <c r="M36" s="52">
        <v>8</v>
      </c>
      <c r="N36" s="106"/>
      <c r="O36" s="106"/>
      <c r="P36" s="111"/>
      <c r="Q36" s="51">
        <v>19</v>
      </c>
      <c r="R36" s="52">
        <v>0</v>
      </c>
      <c r="S36" s="106"/>
      <c r="T36" s="106"/>
      <c r="U36" s="101"/>
      <c r="AA36" s="12"/>
      <c r="AB36" s="12"/>
      <c r="AC36" s="12"/>
      <c r="AD36" s="12"/>
      <c r="AE36" s="12"/>
      <c r="AF36" s="12"/>
      <c r="AN36" s="13"/>
      <c r="AQ36" s="68" t="s">
        <v>62</v>
      </c>
      <c r="AR36" s="108">
        <v>30284</v>
      </c>
      <c r="AS36" s="108">
        <v>16069</v>
      </c>
      <c r="AT36" s="108">
        <v>0</v>
      </c>
      <c r="AU36" s="108">
        <v>-14159</v>
      </c>
      <c r="AV36" s="109">
        <v>-6104</v>
      </c>
      <c r="AW36" s="110">
        <v>0</v>
      </c>
      <c r="AX36" s="108">
        <v>0</v>
      </c>
      <c r="AY36" s="109">
        <v>0</v>
      </c>
      <c r="AZ36" s="110">
        <v>0</v>
      </c>
      <c r="BA36" s="108">
        <v>652</v>
      </c>
      <c r="BB36" s="109">
        <v>666</v>
      </c>
      <c r="BC36" s="110">
        <v>0</v>
      </c>
      <c r="BD36" s="108">
        <v>-337</v>
      </c>
      <c r="BE36" s="109">
        <v>-274</v>
      </c>
      <c r="BF36" s="110">
        <v>0</v>
      </c>
      <c r="BV36" s="47"/>
      <c r="CK36" s="74"/>
      <c r="CX36" s="39"/>
      <c r="CY36" s="49">
        <v>0</v>
      </c>
      <c r="CZ36" s="51">
        <v>0</v>
      </c>
      <c r="DA36" s="52">
        <v>0</v>
      </c>
      <c r="DB36" s="52">
        <v>0</v>
      </c>
      <c r="DC36" s="53">
        <v>0</v>
      </c>
      <c r="DD36" s="50">
        <v>0</v>
      </c>
      <c r="DE36" s="51">
        <v>0</v>
      </c>
      <c r="DF36" s="52">
        <v>0</v>
      </c>
      <c r="DG36" s="52">
        <v>0</v>
      </c>
      <c r="DH36" s="53">
        <v>0</v>
      </c>
      <c r="DI36" s="54">
        <v>0</v>
      </c>
      <c r="DL36" s="39"/>
      <c r="DM36" s="49">
        <v>0</v>
      </c>
      <c r="DN36" s="63">
        <v>0</v>
      </c>
      <c r="DO36" s="64">
        <v>0</v>
      </c>
      <c r="DP36" s="64">
        <v>0</v>
      </c>
      <c r="DQ36" s="65">
        <v>0</v>
      </c>
      <c r="DR36" s="62">
        <v>0</v>
      </c>
      <c r="DS36" s="63">
        <v>0</v>
      </c>
      <c r="DT36" s="64">
        <v>0</v>
      </c>
      <c r="DU36" s="64">
        <v>0</v>
      </c>
      <c r="DV36" s="65">
        <v>0</v>
      </c>
      <c r="DW36" s="66">
        <v>0</v>
      </c>
      <c r="EA36"/>
      <c r="EF36" s="55" t="s">
        <v>84</v>
      </c>
      <c r="EG36" s="5" t="e">
        <v>#N/A</v>
      </c>
    </row>
    <row r="37" spans="1:137" ht="15" thickBot="1" x14ac:dyDescent="0.35">
      <c r="A37" s="105" t="s">
        <v>43</v>
      </c>
      <c r="B37" s="52">
        <v>1850</v>
      </c>
      <c r="C37" s="52">
        <v>1253</v>
      </c>
      <c r="D37" s="52"/>
      <c r="E37" s="52"/>
      <c r="F37" s="111"/>
      <c r="G37" s="51">
        <v>-62</v>
      </c>
      <c r="H37" s="52">
        <v>35</v>
      </c>
      <c r="I37" s="52"/>
      <c r="J37" s="174" t="s">
        <v>138</v>
      </c>
      <c r="K37" s="111"/>
      <c r="L37" s="51">
        <v>53</v>
      </c>
      <c r="M37" s="52">
        <v>24</v>
      </c>
      <c r="N37" s="106"/>
      <c r="O37" s="106"/>
      <c r="P37" s="111"/>
      <c r="Q37" s="51">
        <v>44</v>
      </c>
      <c r="R37" s="52">
        <v>7</v>
      </c>
      <c r="S37" s="106"/>
      <c r="T37" s="106"/>
      <c r="U37" s="101"/>
      <c r="AA37" s="12"/>
      <c r="AB37" s="12"/>
      <c r="AC37" s="12"/>
      <c r="AD37" s="12"/>
      <c r="AE37" s="12"/>
      <c r="AF37" s="12"/>
      <c r="AN37" s="13"/>
      <c r="AQ37" s="72" t="s">
        <v>38</v>
      </c>
      <c r="AR37" s="112">
        <v>3973</v>
      </c>
      <c r="AS37" s="112">
        <v>1291</v>
      </c>
      <c r="AT37" s="113">
        <v>0</v>
      </c>
      <c r="AU37" s="112">
        <v>-1125</v>
      </c>
      <c r="AV37" s="73">
        <v>-559</v>
      </c>
      <c r="AW37" s="73">
        <v>0</v>
      </c>
      <c r="AX37" s="112">
        <v>0</v>
      </c>
      <c r="AY37" s="112">
        <v>0</v>
      </c>
      <c r="AZ37" s="112">
        <v>0</v>
      </c>
      <c r="BA37" s="112">
        <v>72</v>
      </c>
      <c r="BB37" s="112">
        <v>60</v>
      </c>
      <c r="BC37" s="112">
        <v>0</v>
      </c>
      <c r="BD37" s="112">
        <v>-36</v>
      </c>
      <c r="BE37" s="112">
        <v>-21</v>
      </c>
      <c r="BF37" s="112">
        <v>0</v>
      </c>
      <c r="BV37" s="47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74"/>
      <c r="CX37" s="39"/>
      <c r="CY37" s="61">
        <v>0</v>
      </c>
      <c r="CZ37" s="63">
        <v>0</v>
      </c>
      <c r="DA37" s="64">
        <v>0</v>
      </c>
      <c r="DB37" s="64">
        <v>0</v>
      </c>
      <c r="DC37" s="65">
        <v>0</v>
      </c>
      <c r="DD37" s="62">
        <v>0</v>
      </c>
      <c r="DE37" s="63">
        <v>0</v>
      </c>
      <c r="DF37" s="64">
        <v>0</v>
      </c>
      <c r="DG37" s="64">
        <v>0</v>
      </c>
      <c r="DH37" s="65">
        <v>0</v>
      </c>
      <c r="DI37" s="66">
        <v>0</v>
      </c>
      <c r="DM37" s="61">
        <v>0</v>
      </c>
      <c r="DN37" s="40">
        <v>0</v>
      </c>
      <c r="DO37" s="41">
        <v>0</v>
      </c>
      <c r="DP37" s="41">
        <v>0</v>
      </c>
      <c r="DQ37" s="42">
        <v>0</v>
      </c>
      <c r="DR37" s="43">
        <v>0</v>
      </c>
      <c r="DS37" s="40">
        <v>0</v>
      </c>
      <c r="DT37" s="41">
        <v>0</v>
      </c>
      <c r="DU37" s="41">
        <v>0</v>
      </c>
      <c r="DV37" s="42">
        <v>0</v>
      </c>
      <c r="DW37" s="44">
        <v>0</v>
      </c>
      <c r="EA37"/>
      <c r="EF37" s="45" t="s">
        <v>85</v>
      </c>
      <c r="EG37" s="5" t="e">
        <v>#N/A</v>
      </c>
    </row>
    <row r="38" spans="1:137" ht="15" thickBot="1" x14ac:dyDescent="0.35">
      <c r="A38" s="105" t="s">
        <v>45</v>
      </c>
      <c r="B38" s="52">
        <v>1366</v>
      </c>
      <c r="C38" s="52">
        <v>387</v>
      </c>
      <c r="D38" s="52"/>
      <c r="E38" s="52"/>
      <c r="F38" s="111"/>
      <c r="G38" s="51">
        <v>312</v>
      </c>
      <c r="H38" s="52">
        <v>-663</v>
      </c>
      <c r="I38" s="52"/>
      <c r="J38" s="174" t="s">
        <v>139</v>
      </c>
      <c r="K38" s="111"/>
      <c r="L38" s="51">
        <v>59</v>
      </c>
      <c r="M38" s="52">
        <v>44</v>
      </c>
      <c r="N38" s="106"/>
      <c r="O38" s="106"/>
      <c r="P38" s="111"/>
      <c r="Q38" s="51">
        <v>5</v>
      </c>
      <c r="R38" s="52">
        <v>27</v>
      </c>
      <c r="S38" s="106"/>
      <c r="T38" s="106"/>
      <c r="U38" s="101"/>
      <c r="AA38" s="182" t="s">
        <v>78</v>
      </c>
      <c r="AB38" s="182"/>
      <c r="AC38" s="182"/>
      <c r="AD38" s="182"/>
      <c r="AE38" s="12"/>
      <c r="AF38" s="12"/>
      <c r="AN38" s="13"/>
      <c r="AQ38" s="72" t="s">
        <v>41</v>
      </c>
      <c r="AR38" s="112">
        <v>1588</v>
      </c>
      <c r="AS38" s="73">
        <v>498</v>
      </c>
      <c r="AT38" s="113">
        <v>0</v>
      </c>
      <c r="AU38" s="112">
        <v>-1015</v>
      </c>
      <c r="AV38" s="73">
        <v>-528</v>
      </c>
      <c r="AW38" s="73">
        <v>0</v>
      </c>
      <c r="AX38" s="112">
        <v>0</v>
      </c>
      <c r="AY38" s="112">
        <v>0</v>
      </c>
      <c r="AZ38" s="112">
        <v>0</v>
      </c>
      <c r="BA38" s="112">
        <v>24</v>
      </c>
      <c r="BB38" s="112">
        <v>8</v>
      </c>
      <c r="BC38" s="113">
        <v>0</v>
      </c>
      <c r="BD38" s="112">
        <v>-5</v>
      </c>
      <c r="BE38" s="112">
        <v>-8</v>
      </c>
      <c r="BF38" s="112">
        <v>0</v>
      </c>
      <c r="BV38" s="47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W38" s="38">
        <v>0</v>
      </c>
      <c r="CX38" s="39" t="s">
        <v>38</v>
      </c>
      <c r="CY38" s="51">
        <v>0</v>
      </c>
      <c r="CZ38" s="40">
        <v>0</v>
      </c>
      <c r="DA38" s="41">
        <v>0</v>
      </c>
      <c r="DB38" s="41">
        <v>0</v>
      </c>
      <c r="DC38" s="42">
        <v>0</v>
      </c>
      <c r="DD38" s="44">
        <v>0</v>
      </c>
      <c r="DE38" s="40">
        <v>0</v>
      </c>
      <c r="DF38" s="41">
        <v>0</v>
      </c>
      <c r="DG38" s="41">
        <v>0</v>
      </c>
      <c r="DH38" s="42">
        <v>0</v>
      </c>
      <c r="DI38" s="44">
        <v>0</v>
      </c>
      <c r="DL38" s="39" t="s">
        <v>38</v>
      </c>
      <c r="DM38" s="51">
        <v>0</v>
      </c>
      <c r="DN38" s="51">
        <v>0</v>
      </c>
      <c r="DO38" s="52">
        <v>0</v>
      </c>
      <c r="DP38" s="52">
        <v>0</v>
      </c>
      <c r="DQ38" s="53">
        <v>0</v>
      </c>
      <c r="DR38" s="50">
        <v>0</v>
      </c>
      <c r="DS38" s="51">
        <v>0</v>
      </c>
      <c r="DT38" s="52">
        <v>0</v>
      </c>
      <c r="DU38" s="52">
        <v>0</v>
      </c>
      <c r="DV38" s="53">
        <v>0</v>
      </c>
      <c r="DW38" s="54">
        <v>0</v>
      </c>
      <c r="EA38"/>
      <c r="EF38" s="55" t="s">
        <v>86</v>
      </c>
      <c r="EG38" s="5" t="e">
        <v>#N/A</v>
      </c>
    </row>
    <row r="39" spans="1:137" ht="15" thickBot="1" x14ac:dyDescent="0.35">
      <c r="A39" s="105" t="s">
        <v>47</v>
      </c>
      <c r="B39" s="52">
        <v>16255</v>
      </c>
      <c r="C39" s="52">
        <v>4134</v>
      </c>
      <c r="D39" s="52"/>
      <c r="E39" s="52"/>
      <c r="F39" s="111"/>
      <c r="G39" s="51">
        <v>15787</v>
      </c>
      <c r="H39" s="52">
        <v>3921</v>
      </c>
      <c r="I39" s="52"/>
      <c r="J39" s="174" t="s">
        <v>140</v>
      </c>
      <c r="K39" s="111"/>
      <c r="L39" s="51">
        <v>33</v>
      </c>
      <c r="M39" s="52">
        <v>28</v>
      </c>
      <c r="N39" s="106"/>
      <c r="O39" s="106"/>
      <c r="P39" s="111"/>
      <c r="Q39" s="51">
        <v>5</v>
      </c>
      <c r="R39" s="52">
        <v>12</v>
      </c>
      <c r="S39" s="106"/>
      <c r="T39" s="106"/>
      <c r="U39" s="101"/>
      <c r="AA39" s="129">
        <v>0</v>
      </c>
      <c r="AB39" s="130" t="s">
        <v>9</v>
      </c>
      <c r="AC39" s="130" t="s">
        <v>10</v>
      </c>
      <c r="AD39" s="130" t="s">
        <v>11</v>
      </c>
      <c r="AE39" s="130" t="s">
        <v>12</v>
      </c>
      <c r="AF39" s="12"/>
      <c r="AN39" s="13"/>
      <c r="AQ39" s="72" t="s">
        <v>43</v>
      </c>
      <c r="AR39" s="112">
        <v>1850</v>
      </c>
      <c r="AS39" s="73">
        <v>1253</v>
      </c>
      <c r="AT39" s="113">
        <v>0</v>
      </c>
      <c r="AU39" s="112">
        <v>-1912</v>
      </c>
      <c r="AV39" s="73">
        <v>-1218</v>
      </c>
      <c r="AW39" s="73">
        <v>0</v>
      </c>
      <c r="AX39" s="112">
        <v>0</v>
      </c>
      <c r="AY39" s="112">
        <v>0</v>
      </c>
      <c r="AZ39" s="112">
        <v>0</v>
      </c>
      <c r="BA39" s="112">
        <v>53</v>
      </c>
      <c r="BB39" s="112">
        <v>24</v>
      </c>
      <c r="BC39" s="113">
        <v>0</v>
      </c>
      <c r="BD39" s="112">
        <v>-9</v>
      </c>
      <c r="BE39" s="112">
        <v>-17</v>
      </c>
      <c r="BF39" s="112">
        <v>0</v>
      </c>
      <c r="BV39" s="47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X39" s="39"/>
      <c r="CY39" s="49">
        <v>0</v>
      </c>
      <c r="CZ39" s="51">
        <v>0</v>
      </c>
      <c r="DA39" s="52">
        <v>0</v>
      </c>
      <c r="DB39" s="52">
        <v>0</v>
      </c>
      <c r="DC39" s="53">
        <v>0</v>
      </c>
      <c r="DD39" s="50">
        <v>0</v>
      </c>
      <c r="DE39" s="51">
        <v>0</v>
      </c>
      <c r="DF39" s="52">
        <v>0</v>
      </c>
      <c r="DG39" s="52">
        <v>0</v>
      </c>
      <c r="DH39" s="53">
        <v>0</v>
      </c>
      <c r="DI39" s="54">
        <v>0</v>
      </c>
      <c r="DL39" s="39"/>
      <c r="DM39" s="49">
        <v>0</v>
      </c>
      <c r="DN39" s="51">
        <v>0</v>
      </c>
      <c r="DO39" s="52">
        <v>0</v>
      </c>
      <c r="DP39" s="52">
        <v>0</v>
      </c>
      <c r="DQ39" s="53">
        <v>0</v>
      </c>
      <c r="DR39" s="50">
        <v>0</v>
      </c>
      <c r="DS39" s="51">
        <v>0</v>
      </c>
      <c r="DT39" s="52">
        <v>0</v>
      </c>
      <c r="DU39" s="52">
        <v>0</v>
      </c>
      <c r="DV39" s="53">
        <v>0</v>
      </c>
      <c r="DW39" s="54">
        <v>0</v>
      </c>
      <c r="EA39"/>
      <c r="EF39" s="79" t="s">
        <v>87</v>
      </c>
      <c r="EG39" s="5" t="e">
        <v>#N/A</v>
      </c>
    </row>
    <row r="40" spans="1:137" ht="15" thickBot="1" x14ac:dyDescent="0.35">
      <c r="A40" s="105" t="s">
        <v>49</v>
      </c>
      <c r="B40" s="52">
        <v>2105</v>
      </c>
      <c r="C40" s="52">
        <v>6695</v>
      </c>
      <c r="D40" s="52"/>
      <c r="E40" s="52"/>
      <c r="F40" s="111"/>
      <c r="G40" s="51">
        <v>79</v>
      </c>
      <c r="H40" s="52">
        <v>5796</v>
      </c>
      <c r="I40" s="52"/>
      <c r="J40" s="174" t="s">
        <v>141</v>
      </c>
      <c r="K40" s="111"/>
      <c r="L40" s="51">
        <v>229</v>
      </c>
      <c r="M40" s="52">
        <v>141</v>
      </c>
      <c r="N40" s="106"/>
      <c r="O40" s="106"/>
      <c r="P40" s="111"/>
      <c r="Q40" s="51">
        <v>146</v>
      </c>
      <c r="R40" s="52">
        <v>-8</v>
      </c>
      <c r="S40" s="106"/>
      <c r="T40" s="106"/>
      <c r="U40" s="101"/>
      <c r="AA40" s="136">
        <v>25</v>
      </c>
      <c r="AB40" s="136">
        <v>7</v>
      </c>
      <c r="AC40" s="136">
        <v>2</v>
      </c>
      <c r="AD40" s="136">
        <v>11</v>
      </c>
      <c r="AE40" s="136">
        <v>20</v>
      </c>
      <c r="AF40" s="12"/>
      <c r="AN40" s="13"/>
      <c r="AQ40" s="72" t="s">
        <v>45</v>
      </c>
      <c r="AR40" s="112">
        <v>1366</v>
      </c>
      <c r="AS40" s="73">
        <v>387</v>
      </c>
      <c r="AT40" s="113">
        <v>0</v>
      </c>
      <c r="AU40" s="112">
        <v>-1054</v>
      </c>
      <c r="AV40" s="73">
        <v>-1050</v>
      </c>
      <c r="AW40" s="73">
        <v>0</v>
      </c>
      <c r="AX40" s="112">
        <v>0</v>
      </c>
      <c r="AY40" s="112">
        <v>0</v>
      </c>
      <c r="AZ40" s="112">
        <v>0</v>
      </c>
      <c r="BA40" s="112">
        <v>59</v>
      </c>
      <c r="BB40" s="112">
        <v>44</v>
      </c>
      <c r="BC40" s="113">
        <v>0</v>
      </c>
      <c r="BD40" s="112">
        <v>-54</v>
      </c>
      <c r="BE40" s="112">
        <v>-17</v>
      </c>
      <c r="BF40" s="112">
        <v>0</v>
      </c>
      <c r="BV40" s="47"/>
      <c r="CH40" s="74"/>
      <c r="CI40" s="74"/>
      <c r="CJ40" s="74"/>
      <c r="CK40" s="74"/>
      <c r="CX40" s="39"/>
      <c r="CY40" s="49">
        <v>0</v>
      </c>
      <c r="CZ40" s="51">
        <v>0</v>
      </c>
      <c r="DA40" s="52">
        <v>0</v>
      </c>
      <c r="DB40" s="52">
        <v>0</v>
      </c>
      <c r="DC40" s="53">
        <v>0</v>
      </c>
      <c r="DD40" s="50">
        <v>0</v>
      </c>
      <c r="DE40" s="51">
        <v>0</v>
      </c>
      <c r="DF40" s="52">
        <v>0</v>
      </c>
      <c r="DG40" s="52">
        <v>0</v>
      </c>
      <c r="DH40" s="53">
        <v>0</v>
      </c>
      <c r="DI40" s="54">
        <v>0</v>
      </c>
      <c r="DL40" s="39"/>
      <c r="DM40" s="49">
        <v>0</v>
      </c>
      <c r="DN40" s="51">
        <v>0</v>
      </c>
      <c r="DO40" s="52">
        <v>0</v>
      </c>
      <c r="DP40" s="52">
        <v>0</v>
      </c>
      <c r="DQ40" s="53">
        <v>0</v>
      </c>
      <c r="DR40" s="50">
        <v>0</v>
      </c>
      <c r="DS40" s="51">
        <v>0</v>
      </c>
      <c r="DT40" s="52">
        <v>0</v>
      </c>
      <c r="DU40" s="52">
        <v>0</v>
      </c>
      <c r="DV40" s="53">
        <v>0</v>
      </c>
      <c r="DW40" s="54">
        <v>0</v>
      </c>
      <c r="EA40"/>
      <c r="EF40" s="55" t="s">
        <v>88</v>
      </c>
      <c r="EG40" s="5" t="e">
        <v>#N/A</v>
      </c>
    </row>
    <row r="41" spans="1:137" ht="15" thickBot="1" x14ac:dyDescent="0.35">
      <c r="A41" s="116" t="s">
        <v>39</v>
      </c>
      <c r="B41" s="64">
        <v>3147</v>
      </c>
      <c r="C41" s="64">
        <v>1811</v>
      </c>
      <c r="D41" s="64"/>
      <c r="E41" s="64"/>
      <c r="F41" s="118"/>
      <c r="G41" s="63">
        <v>-3412</v>
      </c>
      <c r="H41" s="64">
        <v>174</v>
      </c>
      <c r="I41" s="64"/>
      <c r="J41" s="175" t="s">
        <v>142</v>
      </c>
      <c r="K41" s="118"/>
      <c r="L41" s="63">
        <v>182</v>
      </c>
      <c r="M41" s="64">
        <v>361</v>
      </c>
      <c r="N41" s="117"/>
      <c r="O41" s="117"/>
      <c r="P41" s="118"/>
      <c r="Q41" s="63">
        <v>60</v>
      </c>
      <c r="R41" s="64">
        <v>315</v>
      </c>
      <c r="S41" s="117"/>
      <c r="T41" s="117"/>
      <c r="U41" s="119"/>
      <c r="AA41" s="12"/>
      <c r="AB41" s="12"/>
      <c r="AC41" s="12"/>
      <c r="AD41" s="12"/>
      <c r="AE41" s="12"/>
      <c r="AF41" s="12"/>
      <c r="AN41" s="13"/>
      <c r="AQ41" s="72" t="s">
        <v>47</v>
      </c>
      <c r="AR41" s="112">
        <v>16255</v>
      </c>
      <c r="AS41" s="73">
        <v>4134</v>
      </c>
      <c r="AT41" s="113">
        <v>0</v>
      </c>
      <c r="AU41" s="112">
        <v>-468</v>
      </c>
      <c r="AV41" s="73">
        <v>-213</v>
      </c>
      <c r="AW41" s="73">
        <v>0</v>
      </c>
      <c r="AX41" s="112">
        <v>0</v>
      </c>
      <c r="AY41" s="112">
        <v>0</v>
      </c>
      <c r="AZ41" s="112">
        <v>0</v>
      </c>
      <c r="BA41" s="112">
        <v>33</v>
      </c>
      <c r="BB41" s="112">
        <v>28</v>
      </c>
      <c r="BC41" s="113">
        <v>0</v>
      </c>
      <c r="BD41" s="112">
        <v>-28</v>
      </c>
      <c r="BE41" s="112">
        <v>-16</v>
      </c>
      <c r="BF41" s="112">
        <v>0</v>
      </c>
      <c r="BV41" s="47"/>
      <c r="CH41" s="74"/>
      <c r="CI41" s="74"/>
      <c r="CJ41" s="74"/>
      <c r="CK41" s="74"/>
      <c r="CX41" s="39"/>
      <c r="CY41" s="49">
        <v>0</v>
      </c>
      <c r="CZ41" s="51">
        <v>0</v>
      </c>
      <c r="DA41" s="52">
        <v>0</v>
      </c>
      <c r="DB41" s="52">
        <v>0</v>
      </c>
      <c r="DC41" s="53">
        <v>0</v>
      </c>
      <c r="DD41" s="50">
        <v>0</v>
      </c>
      <c r="DE41" s="51">
        <v>0</v>
      </c>
      <c r="DF41" s="52">
        <v>0</v>
      </c>
      <c r="DG41" s="52">
        <v>0</v>
      </c>
      <c r="DH41" s="53">
        <v>0</v>
      </c>
      <c r="DI41" s="54">
        <v>0</v>
      </c>
      <c r="DL41" s="39"/>
      <c r="DM41" s="49">
        <v>0</v>
      </c>
      <c r="DN41" s="141">
        <v>0</v>
      </c>
      <c r="DO41" s="142">
        <v>0</v>
      </c>
      <c r="DP41" s="142">
        <v>0</v>
      </c>
      <c r="DQ41" s="143">
        <v>0</v>
      </c>
      <c r="DR41" s="144">
        <v>0</v>
      </c>
      <c r="DS41" s="141">
        <v>0</v>
      </c>
      <c r="DT41" s="142">
        <v>0</v>
      </c>
      <c r="DU41" s="142">
        <v>0</v>
      </c>
      <c r="DV41" s="143">
        <v>0</v>
      </c>
      <c r="DW41" s="145">
        <v>0</v>
      </c>
      <c r="EA41"/>
      <c r="EF41" s="45" t="s">
        <v>89</v>
      </c>
      <c r="EG41" s="5" t="e">
        <v>#N/A</v>
      </c>
    </row>
    <row r="42" spans="1:137" ht="15" thickTop="1" x14ac:dyDescent="0.3">
      <c r="B42" s="78"/>
      <c r="C42" s="78"/>
      <c r="D42" s="78"/>
      <c r="J42" s="78"/>
      <c r="L42" s="120"/>
      <c r="M42" s="120"/>
      <c r="AA42" s="12"/>
      <c r="AB42" s="12"/>
      <c r="AC42" s="12"/>
      <c r="AD42" s="12"/>
      <c r="AE42" s="12"/>
      <c r="AF42" s="12"/>
      <c r="AN42" s="13"/>
      <c r="AQ42" s="72" t="s">
        <v>49</v>
      </c>
      <c r="AR42" s="112">
        <v>2105</v>
      </c>
      <c r="AS42" s="73">
        <v>6695</v>
      </c>
      <c r="AT42" s="113">
        <v>0</v>
      </c>
      <c r="AU42" s="112">
        <v>-2026</v>
      </c>
      <c r="AV42" s="73">
        <v>-899</v>
      </c>
      <c r="AW42" s="73">
        <v>0</v>
      </c>
      <c r="AX42" s="112">
        <v>0</v>
      </c>
      <c r="AY42" s="112">
        <v>0</v>
      </c>
      <c r="AZ42" s="112">
        <v>0</v>
      </c>
      <c r="BA42" s="112">
        <v>229</v>
      </c>
      <c r="BB42" s="112">
        <v>141</v>
      </c>
      <c r="BC42" s="113">
        <v>0</v>
      </c>
      <c r="BD42" s="112">
        <v>-83</v>
      </c>
      <c r="BE42" s="112">
        <v>-149</v>
      </c>
      <c r="BF42" s="112">
        <v>0</v>
      </c>
      <c r="BV42" s="47"/>
      <c r="CH42" s="74"/>
      <c r="CI42" s="74"/>
      <c r="CJ42" s="74"/>
      <c r="CK42" s="74"/>
      <c r="CX42" s="39"/>
      <c r="CY42" s="59">
        <v>0</v>
      </c>
      <c r="CZ42" s="51">
        <v>0</v>
      </c>
      <c r="DA42" s="52">
        <v>0</v>
      </c>
      <c r="DB42" s="52">
        <v>0</v>
      </c>
      <c r="DC42" s="53">
        <v>0</v>
      </c>
      <c r="DD42" s="50">
        <v>0</v>
      </c>
      <c r="DE42" s="51">
        <v>0</v>
      </c>
      <c r="DF42" s="52">
        <v>0</v>
      </c>
      <c r="DG42" s="52">
        <v>0</v>
      </c>
      <c r="DH42" s="53">
        <v>0</v>
      </c>
      <c r="DI42" s="54">
        <v>0</v>
      </c>
      <c r="DL42" s="39"/>
      <c r="DM42" s="59">
        <v>0</v>
      </c>
      <c r="DN42" s="141">
        <v>0</v>
      </c>
      <c r="DO42" s="142">
        <v>0</v>
      </c>
      <c r="DP42" s="142">
        <v>0</v>
      </c>
      <c r="DQ42" s="143">
        <v>0</v>
      </c>
      <c r="DR42" s="144">
        <v>0</v>
      </c>
      <c r="DS42" s="141">
        <v>0</v>
      </c>
      <c r="DT42" s="142">
        <v>0</v>
      </c>
      <c r="DU42" s="142">
        <v>0</v>
      </c>
      <c r="DV42" s="143">
        <v>0</v>
      </c>
      <c r="DW42" s="145">
        <v>0</v>
      </c>
      <c r="EA42"/>
      <c r="EF42" s="55" t="s">
        <v>90</v>
      </c>
      <c r="EG42" s="5" t="e">
        <v>#N/A</v>
      </c>
    </row>
    <row r="43" spans="1:137" ht="24.6" x14ac:dyDescent="0.35">
      <c r="A43" s="146" t="s">
        <v>91</v>
      </c>
      <c r="B43" s="147" t="s">
        <v>92</v>
      </c>
      <c r="C43" s="148"/>
      <c r="D43" s="148"/>
      <c r="E43" s="149"/>
      <c r="F43" s="149"/>
      <c r="G43" s="149"/>
      <c r="H43" s="149"/>
      <c r="I43" s="149"/>
      <c r="J43" s="149"/>
      <c r="K43" s="149"/>
      <c r="L43" s="150"/>
      <c r="M43" s="150"/>
      <c r="AA43" s="12"/>
      <c r="AB43" s="12"/>
      <c r="AC43" s="12"/>
      <c r="AD43" s="12"/>
      <c r="AE43" s="12"/>
      <c r="AF43" s="12"/>
      <c r="AN43" s="13"/>
      <c r="AQ43" s="72" t="s">
        <v>39</v>
      </c>
      <c r="AR43" s="112">
        <v>3147</v>
      </c>
      <c r="AS43" s="73">
        <v>1811</v>
      </c>
      <c r="AT43" s="113">
        <v>0</v>
      </c>
      <c r="AU43" s="112">
        <v>-6559</v>
      </c>
      <c r="AV43" s="73">
        <v>-1637</v>
      </c>
      <c r="AW43" s="73">
        <v>0</v>
      </c>
      <c r="AX43" s="112">
        <v>0</v>
      </c>
      <c r="AY43" s="112">
        <v>0</v>
      </c>
      <c r="AZ43" s="112">
        <v>0</v>
      </c>
      <c r="BA43" s="112">
        <v>182</v>
      </c>
      <c r="BB43" s="112">
        <v>361</v>
      </c>
      <c r="BC43" s="113">
        <v>0</v>
      </c>
      <c r="BD43" s="112">
        <v>-122</v>
      </c>
      <c r="BE43" s="112">
        <v>-46</v>
      </c>
      <c r="BF43" s="112">
        <v>0</v>
      </c>
      <c r="BV43" s="47"/>
      <c r="CH43" s="74"/>
      <c r="CI43" s="74"/>
      <c r="CJ43" s="74"/>
      <c r="CK43" s="74"/>
      <c r="CX43" s="39"/>
      <c r="CY43" s="59">
        <v>0</v>
      </c>
      <c r="CZ43" s="51">
        <v>0</v>
      </c>
      <c r="DA43" s="52">
        <v>0</v>
      </c>
      <c r="DB43" s="52">
        <v>0</v>
      </c>
      <c r="DC43" s="53">
        <v>0</v>
      </c>
      <c r="DD43" s="50">
        <v>0</v>
      </c>
      <c r="DE43" s="51">
        <v>0</v>
      </c>
      <c r="DF43" s="52">
        <v>0</v>
      </c>
      <c r="DG43" s="52">
        <v>0</v>
      </c>
      <c r="DH43" s="53">
        <v>0</v>
      </c>
      <c r="DI43" s="54">
        <v>0</v>
      </c>
      <c r="DL43" s="39"/>
      <c r="DM43" s="59">
        <v>0</v>
      </c>
      <c r="DN43" s="141">
        <v>0</v>
      </c>
      <c r="DO43" s="142">
        <v>0</v>
      </c>
      <c r="DP43" s="142">
        <v>0</v>
      </c>
      <c r="DQ43" s="143">
        <v>0</v>
      </c>
      <c r="DR43" s="144">
        <v>0</v>
      </c>
      <c r="DS43" s="141">
        <v>0</v>
      </c>
      <c r="DT43" s="142">
        <v>0</v>
      </c>
      <c r="DU43" s="142">
        <v>0</v>
      </c>
      <c r="DV43" s="143">
        <v>0</v>
      </c>
      <c r="DW43" s="145">
        <v>0</v>
      </c>
      <c r="EA43"/>
      <c r="EF43" s="45" t="s">
        <v>93</v>
      </c>
      <c r="EG43" s="5" t="e">
        <v>#N/A</v>
      </c>
    </row>
    <row r="44" spans="1:137" ht="15" thickBot="1" x14ac:dyDescent="0.35">
      <c r="B44" s="78"/>
      <c r="C44" s="78"/>
      <c r="D44" s="78"/>
      <c r="E44" s="38"/>
      <c r="L44" s="120"/>
      <c r="M44" s="120"/>
      <c r="AA44" s="12"/>
      <c r="AB44" s="12"/>
      <c r="AC44" s="12"/>
      <c r="AD44" s="12"/>
      <c r="AE44" s="12"/>
      <c r="AF44" s="12"/>
      <c r="AN44" s="13"/>
      <c r="AQ44" s="88" t="s">
        <v>59</v>
      </c>
      <c r="AR44" s="121">
        <v>35</v>
      </c>
      <c r="AS44" s="122">
        <v>27</v>
      </c>
      <c r="AT44" s="123">
        <v>0</v>
      </c>
      <c r="AU44" s="121">
        <v>-305</v>
      </c>
      <c r="AV44" s="73">
        <v>-211</v>
      </c>
      <c r="AW44" s="122">
        <v>0</v>
      </c>
      <c r="AX44" s="121">
        <v>0</v>
      </c>
      <c r="AY44" s="121">
        <v>0</v>
      </c>
      <c r="AZ44" s="121">
        <v>0</v>
      </c>
      <c r="BA44" s="121">
        <v>0</v>
      </c>
      <c r="BB44" s="121">
        <v>0</v>
      </c>
      <c r="BC44" s="123">
        <v>0</v>
      </c>
      <c r="BD44" s="121">
        <v>0</v>
      </c>
      <c r="BE44" s="121">
        <v>0</v>
      </c>
      <c r="BF44" s="121">
        <v>0</v>
      </c>
      <c r="BV44" s="47"/>
      <c r="CH44" s="74"/>
      <c r="CI44" s="74"/>
      <c r="CJ44" s="74"/>
      <c r="CK44" s="74"/>
      <c r="CX44" s="39"/>
      <c r="CY44" s="59">
        <v>0</v>
      </c>
      <c r="CZ44" s="51">
        <v>0</v>
      </c>
      <c r="DA44" s="52">
        <v>0</v>
      </c>
      <c r="DB44" s="52">
        <v>0</v>
      </c>
      <c r="DC44" s="53">
        <v>0</v>
      </c>
      <c r="DD44" s="50">
        <v>0</v>
      </c>
      <c r="DE44" s="51">
        <v>0</v>
      </c>
      <c r="DF44" s="52">
        <v>0</v>
      </c>
      <c r="DG44" s="52">
        <v>0</v>
      </c>
      <c r="DH44" s="53">
        <v>0</v>
      </c>
      <c r="DI44" s="54">
        <v>0</v>
      </c>
      <c r="DL44" s="39"/>
      <c r="DM44" s="59">
        <v>0</v>
      </c>
      <c r="DN44" s="63">
        <v>0</v>
      </c>
      <c r="DO44" s="64">
        <v>0</v>
      </c>
      <c r="DP44" s="64">
        <v>0</v>
      </c>
      <c r="DQ44" s="65">
        <v>0</v>
      </c>
      <c r="DR44" s="62">
        <v>0</v>
      </c>
      <c r="DS44" s="63">
        <v>0</v>
      </c>
      <c r="DT44" s="64">
        <v>0</v>
      </c>
      <c r="DU44" s="64">
        <v>0</v>
      </c>
      <c r="DV44" s="65">
        <v>0</v>
      </c>
      <c r="DW44" s="66">
        <v>0</v>
      </c>
      <c r="EA44"/>
      <c r="EF44" s="55" t="s">
        <v>94</v>
      </c>
      <c r="EG44" s="5" t="e">
        <v>#N/A</v>
      </c>
    </row>
    <row r="45" spans="1:137" ht="14.4" x14ac:dyDescent="0.3">
      <c r="B45" s="78"/>
      <c r="C45" s="78"/>
      <c r="D45" s="78"/>
      <c r="E45" s="38">
        <v>0</v>
      </c>
      <c r="J45" s="38">
        <v>0</v>
      </c>
      <c r="L45" s="120"/>
      <c r="M45" s="120"/>
      <c r="AA45" s="182" t="s">
        <v>95</v>
      </c>
      <c r="AB45" s="182"/>
      <c r="AC45" s="182"/>
      <c r="AD45" s="182"/>
      <c r="AE45" s="12"/>
      <c r="AF45" s="12"/>
      <c r="AN45" s="13"/>
      <c r="BV45" s="47"/>
      <c r="CH45" s="74"/>
      <c r="CI45" s="74"/>
      <c r="CJ45" s="74"/>
      <c r="CK45" s="74"/>
      <c r="CW45" s="38">
        <v>0</v>
      </c>
      <c r="CX45" s="39" t="s">
        <v>41</v>
      </c>
      <c r="CY45" s="40">
        <v>0</v>
      </c>
      <c r="CZ45" s="40">
        <v>0</v>
      </c>
      <c r="DA45" s="41">
        <v>0</v>
      </c>
      <c r="DB45" s="41">
        <v>0</v>
      </c>
      <c r="DC45" s="42">
        <v>0</v>
      </c>
      <c r="DD45" s="44">
        <v>0</v>
      </c>
      <c r="DE45" s="40">
        <v>0</v>
      </c>
      <c r="DF45" s="41">
        <v>0</v>
      </c>
      <c r="DG45" s="41">
        <v>0</v>
      </c>
      <c r="DH45" s="42">
        <v>0</v>
      </c>
      <c r="DI45" s="44">
        <v>0</v>
      </c>
      <c r="DL45" s="39" t="s">
        <v>41</v>
      </c>
      <c r="DM45" s="40">
        <v>0</v>
      </c>
      <c r="DN45" s="51">
        <v>0</v>
      </c>
      <c r="DO45" s="41">
        <v>0</v>
      </c>
      <c r="DP45" s="41">
        <v>0</v>
      </c>
      <c r="DQ45" s="42">
        <v>0</v>
      </c>
      <c r="DR45" s="43">
        <v>0</v>
      </c>
      <c r="DS45" s="40">
        <v>0</v>
      </c>
      <c r="DT45" s="41">
        <v>0</v>
      </c>
      <c r="DU45" s="41">
        <v>0</v>
      </c>
      <c r="DV45" s="42">
        <v>0</v>
      </c>
      <c r="DW45" s="44">
        <v>0</v>
      </c>
      <c r="EA45"/>
      <c r="EF45" s="45" t="s">
        <v>96</v>
      </c>
      <c r="EG45" s="5" t="e">
        <v>#N/A</v>
      </c>
    </row>
    <row r="46" spans="1:137" x14ac:dyDescent="0.25">
      <c r="B46" s="78"/>
      <c r="C46" s="78"/>
      <c r="D46" s="78"/>
      <c r="E46" s="38">
        <v>0</v>
      </c>
      <c r="L46" s="120"/>
      <c r="M46" s="120"/>
      <c r="AA46" s="129">
        <v>0</v>
      </c>
      <c r="AB46" s="130" t="s">
        <v>9</v>
      </c>
      <c r="AC46" s="130" t="s">
        <v>10</v>
      </c>
      <c r="AD46" s="130" t="s">
        <v>11</v>
      </c>
      <c r="AE46" s="130" t="s">
        <v>12</v>
      </c>
      <c r="AF46" s="12"/>
      <c r="AN46" s="13"/>
      <c r="BV46" s="47"/>
      <c r="CH46" s="74"/>
      <c r="CI46" s="74"/>
      <c r="CJ46" s="74"/>
      <c r="CK46" s="74"/>
      <c r="CX46" s="39"/>
      <c r="CY46" s="49">
        <v>0</v>
      </c>
      <c r="CZ46" s="51">
        <v>0</v>
      </c>
      <c r="DA46" s="52">
        <v>0</v>
      </c>
      <c r="DB46" s="52">
        <v>0</v>
      </c>
      <c r="DC46" s="53">
        <v>0</v>
      </c>
      <c r="DD46" s="50">
        <v>0</v>
      </c>
      <c r="DE46" s="51">
        <v>0</v>
      </c>
      <c r="DF46" s="52">
        <v>0</v>
      </c>
      <c r="DG46" s="52">
        <v>0</v>
      </c>
      <c r="DH46" s="53">
        <v>0</v>
      </c>
      <c r="DI46" s="54">
        <v>0</v>
      </c>
      <c r="DL46" s="39"/>
      <c r="DM46" s="49">
        <v>0</v>
      </c>
      <c r="DN46" s="51">
        <v>0</v>
      </c>
      <c r="DO46" s="52">
        <v>0</v>
      </c>
      <c r="DP46" s="52">
        <v>0</v>
      </c>
      <c r="DQ46" s="53">
        <v>0</v>
      </c>
      <c r="DR46" s="50">
        <v>0</v>
      </c>
      <c r="DS46" s="51">
        <v>0</v>
      </c>
      <c r="DT46" s="52">
        <v>0</v>
      </c>
      <c r="DU46" s="52">
        <v>0</v>
      </c>
      <c r="DV46" s="53">
        <v>0</v>
      </c>
      <c r="DW46" s="54">
        <v>0</v>
      </c>
      <c r="EF46" s="55" t="s">
        <v>97</v>
      </c>
      <c r="EG46" s="5" t="e">
        <v>#N/A</v>
      </c>
    </row>
    <row r="47" spans="1:137" x14ac:dyDescent="0.25">
      <c r="B47" s="78"/>
      <c r="C47" s="78"/>
      <c r="D47" s="78"/>
      <c r="L47" s="120"/>
      <c r="M47" s="120"/>
      <c r="AA47" s="136">
        <v>30</v>
      </c>
      <c r="AB47" s="136">
        <v>3</v>
      </c>
      <c r="AC47" s="136">
        <v>2</v>
      </c>
      <c r="AD47" s="136">
        <v>10</v>
      </c>
      <c r="AE47" s="136">
        <v>15</v>
      </c>
      <c r="AF47" s="12"/>
      <c r="AN47" s="13"/>
      <c r="BV47" s="47"/>
      <c r="BY47" s="177" t="s">
        <v>98</v>
      </c>
      <c r="BZ47" s="178"/>
      <c r="CA47" s="178"/>
      <c r="CB47" s="178"/>
      <c r="CC47" s="178"/>
      <c r="CD47" s="178"/>
      <c r="CE47" s="178"/>
      <c r="CF47" s="178"/>
      <c r="CG47" s="178"/>
      <c r="CH47" s="74"/>
      <c r="CI47" s="74"/>
      <c r="CJ47" s="74"/>
      <c r="CK47" s="74"/>
      <c r="CX47" s="39"/>
      <c r="CY47" s="49">
        <v>0</v>
      </c>
      <c r="CZ47" s="51"/>
      <c r="DA47" s="52"/>
      <c r="DB47" s="52"/>
      <c r="DC47" s="53"/>
      <c r="DD47" s="50"/>
      <c r="DE47" s="51">
        <v>0</v>
      </c>
      <c r="DF47" s="52">
        <v>0</v>
      </c>
      <c r="DG47" s="52">
        <v>0</v>
      </c>
      <c r="DH47" s="53">
        <v>0</v>
      </c>
      <c r="DI47" s="54">
        <v>0</v>
      </c>
      <c r="DL47" s="39"/>
      <c r="DM47" s="49">
        <v>0</v>
      </c>
      <c r="DN47" s="51">
        <v>0</v>
      </c>
      <c r="DO47" s="52">
        <v>0</v>
      </c>
      <c r="DP47" s="52">
        <v>0</v>
      </c>
      <c r="DQ47" s="53">
        <v>0</v>
      </c>
      <c r="DR47" s="50">
        <v>0</v>
      </c>
      <c r="DS47" s="51">
        <v>0</v>
      </c>
      <c r="DT47" s="52">
        <v>0</v>
      </c>
      <c r="DU47" s="52">
        <v>0</v>
      </c>
      <c r="DV47" s="53">
        <v>0</v>
      </c>
      <c r="DW47" s="54">
        <v>0</v>
      </c>
      <c r="EF47" s="45" t="s">
        <v>99</v>
      </c>
      <c r="EG47" s="5" t="e">
        <v>#N/A</v>
      </c>
    </row>
    <row r="48" spans="1:137" ht="14.4" thickBot="1" x14ac:dyDescent="0.3">
      <c r="B48" s="78"/>
      <c r="C48" s="78"/>
      <c r="D48" s="78"/>
      <c r="L48" s="120"/>
      <c r="M48" s="120"/>
      <c r="AA48" s="12"/>
      <c r="AB48" s="12"/>
      <c r="AC48" s="12"/>
      <c r="AD48" s="12"/>
      <c r="AE48" s="12"/>
      <c r="AF48" s="12"/>
      <c r="AN48" s="13"/>
      <c r="BV48" s="47"/>
      <c r="BY48" s="60" t="s">
        <v>18</v>
      </c>
      <c r="BZ48" s="60"/>
      <c r="CA48" s="60"/>
      <c r="CB48" s="60" t="s">
        <v>19</v>
      </c>
      <c r="CC48" s="60"/>
      <c r="CD48" s="60"/>
      <c r="CE48" s="60" t="s">
        <v>100</v>
      </c>
      <c r="CF48" s="60"/>
      <c r="CG48" s="60"/>
      <c r="CH48" s="74"/>
      <c r="CI48" s="74"/>
      <c r="CJ48" s="74"/>
      <c r="CK48" s="74"/>
      <c r="CX48" s="39"/>
      <c r="CY48" s="49">
        <v>0</v>
      </c>
      <c r="CZ48" s="51"/>
      <c r="DA48" s="52"/>
      <c r="DB48" s="52"/>
      <c r="DC48" s="53"/>
      <c r="DD48" s="50"/>
      <c r="DE48" s="51">
        <v>0</v>
      </c>
      <c r="DF48" s="52">
        <v>0</v>
      </c>
      <c r="DG48" s="52">
        <v>0</v>
      </c>
      <c r="DH48" s="53">
        <v>0</v>
      </c>
      <c r="DI48" s="54">
        <v>0</v>
      </c>
      <c r="DL48" s="39"/>
      <c r="DM48" s="49">
        <v>0</v>
      </c>
      <c r="DN48" s="51">
        <v>0</v>
      </c>
      <c r="DO48" s="52">
        <v>0</v>
      </c>
      <c r="DP48" s="52">
        <v>0</v>
      </c>
      <c r="DQ48" s="53">
        <v>0</v>
      </c>
      <c r="DR48" s="50">
        <v>0</v>
      </c>
      <c r="DS48" s="51">
        <v>0</v>
      </c>
      <c r="DT48" s="52">
        <v>0</v>
      </c>
      <c r="DU48" s="52">
        <v>0</v>
      </c>
      <c r="DV48" s="53">
        <v>0</v>
      </c>
      <c r="DW48" s="54">
        <v>0</v>
      </c>
      <c r="EF48" s="79" t="s">
        <v>101</v>
      </c>
      <c r="EG48" s="5" t="e">
        <v>#N/A</v>
      </c>
    </row>
    <row r="49" spans="1:137" ht="14.4" thickTop="1" x14ac:dyDescent="0.25">
      <c r="B49" s="78"/>
      <c r="C49" s="78"/>
      <c r="D49" s="78"/>
      <c r="L49" s="120"/>
      <c r="M49" s="120"/>
      <c r="AA49" s="12"/>
      <c r="AB49" s="12"/>
      <c r="AC49" s="12"/>
      <c r="AD49" s="12"/>
      <c r="AE49" s="12"/>
      <c r="AF49" s="12"/>
      <c r="AN49" s="13"/>
      <c r="BV49" s="47"/>
      <c r="BX49" s="68" t="s">
        <v>33</v>
      </c>
      <c r="BY49" s="114" t="s">
        <v>34</v>
      </c>
      <c r="BZ49" s="115" t="s">
        <v>35</v>
      </c>
      <c r="CA49" s="115" t="s">
        <v>36</v>
      </c>
      <c r="CB49" s="115" t="s">
        <v>34</v>
      </c>
      <c r="CC49" s="115" t="s">
        <v>35</v>
      </c>
      <c r="CD49" s="115" t="s">
        <v>36</v>
      </c>
      <c r="CE49" s="115" t="s">
        <v>34</v>
      </c>
      <c r="CF49" s="115" t="s">
        <v>35</v>
      </c>
      <c r="CG49" s="115" t="s">
        <v>36</v>
      </c>
      <c r="CH49" s="74"/>
      <c r="CI49" s="74"/>
      <c r="CJ49" s="74"/>
      <c r="CK49" s="74"/>
      <c r="CX49" s="39"/>
      <c r="CY49" s="49">
        <v>0</v>
      </c>
      <c r="CZ49" s="51">
        <v>0</v>
      </c>
      <c r="DA49" s="52">
        <v>0</v>
      </c>
      <c r="DB49" s="52">
        <v>0</v>
      </c>
      <c r="DC49" s="53">
        <v>0</v>
      </c>
      <c r="DD49" s="50">
        <v>0</v>
      </c>
      <c r="DE49" s="51">
        <v>0</v>
      </c>
      <c r="DF49" s="52">
        <v>0</v>
      </c>
      <c r="DG49" s="52">
        <v>0</v>
      </c>
      <c r="DH49" s="53">
        <v>0</v>
      </c>
      <c r="DI49" s="54">
        <v>0</v>
      </c>
      <c r="DL49" s="39"/>
      <c r="DM49" s="49">
        <v>0</v>
      </c>
      <c r="DN49" s="51">
        <v>0</v>
      </c>
      <c r="DO49" s="52">
        <v>0</v>
      </c>
      <c r="DP49" s="52">
        <v>0</v>
      </c>
      <c r="DQ49" s="53">
        <v>0</v>
      </c>
      <c r="DR49" s="50">
        <v>0</v>
      </c>
      <c r="DS49" s="51">
        <v>0</v>
      </c>
      <c r="DT49" s="52">
        <v>0</v>
      </c>
      <c r="DU49" s="52">
        <v>0</v>
      </c>
      <c r="DV49" s="53">
        <v>0</v>
      </c>
      <c r="DW49" s="54">
        <v>0</v>
      </c>
      <c r="EF49" s="45" t="s">
        <v>102</v>
      </c>
      <c r="EG49" s="5" t="e">
        <v>#N/A</v>
      </c>
    </row>
    <row r="50" spans="1:137" s="151" customFormat="1" ht="14.4" thickBot="1" x14ac:dyDescent="0.3">
      <c r="A50" s="5"/>
      <c r="B50" s="78"/>
      <c r="C50" s="78"/>
      <c r="D50" s="78"/>
      <c r="E50" s="5"/>
      <c r="F50" s="5"/>
      <c r="G50" s="5"/>
      <c r="H50" s="5"/>
      <c r="I50" s="5"/>
      <c r="J50" s="5"/>
      <c r="K50" s="5"/>
      <c r="L50" s="120"/>
      <c r="M50" s="12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12"/>
      <c r="AB50" s="12"/>
      <c r="AC50" s="12"/>
      <c r="AD50" s="12"/>
      <c r="AE50" s="12"/>
      <c r="AF50" s="12"/>
      <c r="AG50" s="5"/>
      <c r="AH50" s="5"/>
      <c r="AI50" s="5"/>
      <c r="AJ50" s="5"/>
      <c r="AK50" s="5"/>
      <c r="AL50" s="5"/>
      <c r="AM50" s="5"/>
      <c r="AN50" s="13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74"/>
      <c r="BA50" s="74"/>
      <c r="BB50" s="74"/>
      <c r="BC50" s="74"/>
      <c r="BD50" s="74"/>
      <c r="BE50" s="74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47"/>
      <c r="BW50" s="5"/>
      <c r="BX50" s="72" t="s">
        <v>38</v>
      </c>
      <c r="BY50" s="73">
        <v>0</v>
      </c>
      <c r="BZ50" s="73">
        <v>67</v>
      </c>
      <c r="CA50" s="73">
        <v>67</v>
      </c>
      <c r="CB50" s="73">
        <v>2</v>
      </c>
      <c r="CC50" s="73">
        <v>26</v>
      </c>
      <c r="CD50" s="73">
        <v>28</v>
      </c>
      <c r="CE50" s="73">
        <v>-2</v>
      </c>
      <c r="CF50" s="73">
        <v>41</v>
      </c>
      <c r="CG50" s="73">
        <v>39</v>
      </c>
      <c r="CH50" s="74"/>
      <c r="CI50" s="74"/>
      <c r="CJ50" s="74"/>
      <c r="CK50" s="74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X50" s="39"/>
      <c r="CY50" s="49">
        <v>0</v>
      </c>
      <c r="CZ50" s="51">
        <v>0</v>
      </c>
      <c r="DA50" s="52">
        <v>0</v>
      </c>
      <c r="DB50" s="52">
        <v>0</v>
      </c>
      <c r="DC50" s="53">
        <v>0</v>
      </c>
      <c r="DD50" s="50">
        <v>0</v>
      </c>
      <c r="DE50" s="51">
        <v>0</v>
      </c>
      <c r="DF50" s="52">
        <v>0</v>
      </c>
      <c r="DG50" s="52">
        <v>0</v>
      </c>
      <c r="DH50" s="53">
        <v>0</v>
      </c>
      <c r="DI50" s="54">
        <v>0</v>
      </c>
      <c r="DJ50" s="5"/>
      <c r="DK50" s="5"/>
      <c r="DL50" s="39"/>
      <c r="DM50" s="49">
        <v>0</v>
      </c>
      <c r="DN50" s="51">
        <v>0</v>
      </c>
      <c r="DO50" s="52">
        <v>0</v>
      </c>
      <c r="DP50" s="52">
        <v>0</v>
      </c>
      <c r="DQ50" s="53">
        <v>0</v>
      </c>
      <c r="DR50" s="50">
        <v>0</v>
      </c>
      <c r="DS50" s="51">
        <v>0</v>
      </c>
      <c r="DT50" s="52">
        <v>0</v>
      </c>
      <c r="DU50" s="52">
        <v>0</v>
      </c>
      <c r="DV50" s="53">
        <v>0</v>
      </c>
      <c r="DW50" s="54">
        <v>0</v>
      </c>
      <c r="EF50" s="55" t="s">
        <v>103</v>
      </c>
      <c r="EG50" s="5" t="e">
        <v>#N/A</v>
      </c>
    </row>
    <row r="51" spans="1:137" s="151" customFormat="1" ht="27.6" x14ac:dyDescent="0.25">
      <c r="A51" s="5"/>
      <c r="B51" s="78"/>
      <c r="C51" s="78"/>
      <c r="D51" s="78"/>
      <c r="E51" s="5"/>
      <c r="F51" s="5"/>
      <c r="G51" s="5"/>
      <c r="H51" s="5"/>
      <c r="I51" s="5"/>
      <c r="J51" s="5"/>
      <c r="K51" s="5"/>
      <c r="L51" s="120"/>
      <c r="M51" s="12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182" t="s">
        <v>95</v>
      </c>
      <c r="AB51" s="182"/>
      <c r="AC51" s="182"/>
      <c r="AD51" s="182"/>
      <c r="AE51" s="12"/>
      <c r="AF51" s="12"/>
      <c r="AG51" s="5"/>
      <c r="AH51" s="5"/>
      <c r="AI51" s="5"/>
      <c r="AJ51" s="5"/>
      <c r="AK51" s="5"/>
      <c r="AL51" s="5"/>
      <c r="AM51" s="5"/>
      <c r="AN51" s="13"/>
      <c r="AO51" s="5"/>
      <c r="AP51" s="5"/>
      <c r="AQ51" s="132" t="s">
        <v>7</v>
      </c>
      <c r="AR51" s="152" t="s">
        <v>8</v>
      </c>
      <c r="AS51" s="152" t="s">
        <v>13</v>
      </c>
      <c r="AT51" s="152" t="s">
        <v>14</v>
      </c>
      <c r="AU51" s="152" t="s">
        <v>15</v>
      </c>
      <c r="AV51" s="152" t="s">
        <v>16</v>
      </c>
      <c r="AW51" s="152" t="s">
        <v>17</v>
      </c>
      <c r="AX51" s="152" t="s">
        <v>18</v>
      </c>
      <c r="AY51" s="152" t="s">
        <v>19</v>
      </c>
      <c r="AZ51" s="74"/>
      <c r="BA51" s="74"/>
      <c r="BB51" s="74"/>
      <c r="BC51" s="74"/>
      <c r="BD51" s="74"/>
      <c r="BE51" s="74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47"/>
      <c r="BW51" s="5"/>
      <c r="BX51" s="72" t="s">
        <v>41</v>
      </c>
      <c r="BY51" s="73">
        <v>0</v>
      </c>
      <c r="BZ51" s="73">
        <v>29</v>
      </c>
      <c r="CA51" s="73">
        <v>29</v>
      </c>
      <c r="CB51" s="73">
        <v>0</v>
      </c>
      <c r="CC51" s="73">
        <v>18</v>
      </c>
      <c r="CD51" s="73">
        <v>18</v>
      </c>
      <c r="CE51" s="73">
        <v>0</v>
      </c>
      <c r="CF51" s="73">
        <v>11</v>
      </c>
      <c r="CG51" s="73">
        <v>11</v>
      </c>
      <c r="CH51" s="74"/>
      <c r="CI51" s="74"/>
      <c r="CJ51" s="74"/>
      <c r="CK51" s="74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38">
        <v>0</v>
      </c>
      <c r="CX51" s="39" t="s">
        <v>43</v>
      </c>
      <c r="CY51" s="40">
        <v>0</v>
      </c>
      <c r="CZ51" s="40">
        <v>0</v>
      </c>
      <c r="DA51" s="41">
        <v>0</v>
      </c>
      <c r="DB51" s="41">
        <v>0</v>
      </c>
      <c r="DC51" s="42">
        <v>0</v>
      </c>
      <c r="DD51" s="44">
        <v>0</v>
      </c>
      <c r="DE51" s="40">
        <v>0</v>
      </c>
      <c r="DF51" s="40">
        <v>0</v>
      </c>
      <c r="DG51" s="41">
        <v>0</v>
      </c>
      <c r="DH51" s="42">
        <v>0</v>
      </c>
      <c r="DI51" s="44">
        <v>0</v>
      </c>
      <c r="DL51" s="39"/>
      <c r="DM51" s="40">
        <v>0</v>
      </c>
      <c r="DN51" s="40">
        <v>0</v>
      </c>
      <c r="DO51" s="41">
        <v>0</v>
      </c>
      <c r="DP51" s="41">
        <v>0</v>
      </c>
      <c r="DQ51" s="42">
        <v>0</v>
      </c>
      <c r="DR51" s="43">
        <v>0</v>
      </c>
      <c r="DS51" s="40">
        <v>0</v>
      </c>
      <c r="DT51" s="41">
        <v>0</v>
      </c>
      <c r="DU51" s="41">
        <v>0</v>
      </c>
      <c r="DV51" s="42">
        <v>0</v>
      </c>
      <c r="DW51" s="44">
        <v>0</v>
      </c>
      <c r="EF51" s="45" t="s">
        <v>104</v>
      </c>
      <c r="EG51" s="5" t="e">
        <v>#N/A</v>
      </c>
    </row>
    <row r="52" spans="1:137" s="151" customFormat="1" x14ac:dyDescent="0.25">
      <c r="A52" s="5"/>
      <c r="B52" s="78"/>
      <c r="C52" s="78"/>
      <c r="D52" s="78"/>
      <c r="E52" s="5"/>
      <c r="F52" s="5"/>
      <c r="G52" s="5"/>
      <c r="H52" s="5"/>
      <c r="I52" s="5"/>
      <c r="J52" s="5"/>
      <c r="K52" s="5"/>
      <c r="L52" s="120"/>
      <c r="M52" s="12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129">
        <v>0</v>
      </c>
      <c r="AB52" s="130" t="s">
        <v>9</v>
      </c>
      <c r="AC52" s="130" t="s">
        <v>10</v>
      </c>
      <c r="AD52" s="130" t="s">
        <v>11</v>
      </c>
      <c r="AE52" s="130" t="s">
        <v>12</v>
      </c>
      <c r="AF52" s="12"/>
      <c r="AG52" s="5"/>
      <c r="AH52" s="5"/>
      <c r="AI52" s="5"/>
      <c r="AJ52" s="5"/>
      <c r="AK52" s="5"/>
      <c r="AL52" s="5"/>
      <c r="AM52" s="5"/>
      <c r="AN52" s="13"/>
      <c r="AO52" s="5"/>
      <c r="AP52" s="5"/>
      <c r="AQ52" s="68">
        <v>46082</v>
      </c>
      <c r="AR52" s="153">
        <v>0</v>
      </c>
      <c r="AS52" s="153">
        <v>0</v>
      </c>
      <c r="AT52" s="153">
        <v>0</v>
      </c>
      <c r="AU52" s="153">
        <v>0</v>
      </c>
      <c r="AV52" s="153">
        <v>0</v>
      </c>
      <c r="AW52" s="153">
        <v>0</v>
      </c>
      <c r="AX52" s="153">
        <v>0</v>
      </c>
      <c r="AY52" s="153">
        <v>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47"/>
      <c r="BW52" s="5"/>
      <c r="BX52" s="72" t="s">
        <v>43</v>
      </c>
      <c r="BY52" s="73">
        <v>0</v>
      </c>
      <c r="BZ52" s="73">
        <v>80</v>
      </c>
      <c r="CA52" s="73">
        <v>80</v>
      </c>
      <c r="CB52" s="73">
        <v>0</v>
      </c>
      <c r="CC52" s="73">
        <v>30</v>
      </c>
      <c r="CD52" s="73">
        <v>30</v>
      </c>
      <c r="CE52" s="73">
        <v>0</v>
      </c>
      <c r="CF52" s="73">
        <v>50</v>
      </c>
      <c r="CG52" s="73">
        <v>50</v>
      </c>
      <c r="CH52" s="74"/>
      <c r="CI52" s="74"/>
      <c r="CJ52" s="74"/>
      <c r="CK52" s="74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154">
        <v>0</v>
      </c>
      <c r="CX52" s="39"/>
      <c r="CY52" s="49">
        <v>0</v>
      </c>
      <c r="CZ52" s="51">
        <v>0</v>
      </c>
      <c r="DA52" s="52">
        <v>0</v>
      </c>
      <c r="DB52" s="52">
        <v>0</v>
      </c>
      <c r="DC52" s="53">
        <v>0</v>
      </c>
      <c r="DD52" s="50">
        <v>0</v>
      </c>
      <c r="DE52" s="51">
        <v>0</v>
      </c>
      <c r="DF52" s="52">
        <v>0</v>
      </c>
      <c r="DG52" s="52">
        <v>0</v>
      </c>
      <c r="DH52" s="53">
        <v>0</v>
      </c>
      <c r="DI52" s="54">
        <v>0</v>
      </c>
      <c r="DL52" s="39" t="s">
        <v>43</v>
      </c>
      <c r="DM52" s="49">
        <v>0</v>
      </c>
      <c r="DN52" s="51">
        <v>0</v>
      </c>
      <c r="DO52" s="52">
        <v>0</v>
      </c>
      <c r="DP52" s="52">
        <v>0</v>
      </c>
      <c r="DQ52" s="53">
        <v>0</v>
      </c>
      <c r="DR52" s="50">
        <v>0</v>
      </c>
      <c r="DS52" s="51">
        <v>0</v>
      </c>
      <c r="DT52" s="52">
        <v>0</v>
      </c>
      <c r="DU52" s="52">
        <v>0</v>
      </c>
      <c r="DV52" s="53">
        <v>0</v>
      </c>
      <c r="DW52" s="54">
        <v>0</v>
      </c>
      <c r="EF52" s="55" t="s">
        <v>105</v>
      </c>
      <c r="EG52" s="5" t="e">
        <v>#N/A</v>
      </c>
    </row>
    <row r="53" spans="1:137" x14ac:dyDescent="0.25">
      <c r="B53" s="78"/>
      <c r="C53" s="78"/>
      <c r="D53" s="78"/>
      <c r="L53" s="120"/>
      <c r="M53" s="120"/>
      <c r="AA53" s="136">
        <v>27</v>
      </c>
      <c r="AB53" s="136">
        <v>3</v>
      </c>
      <c r="AC53" s="136">
        <v>0</v>
      </c>
      <c r="AD53" s="136">
        <v>15</v>
      </c>
      <c r="AE53" s="136">
        <v>18</v>
      </c>
      <c r="AF53" s="12"/>
      <c r="AN53" s="13"/>
      <c r="AQ53" s="68">
        <v>46113</v>
      </c>
      <c r="AR53" s="153">
        <v>0</v>
      </c>
      <c r="AS53" s="153">
        <v>0</v>
      </c>
      <c r="AT53" s="153">
        <v>0</v>
      </c>
      <c r="AU53" s="153">
        <v>0</v>
      </c>
      <c r="AV53" s="153">
        <v>0</v>
      </c>
      <c r="AW53" s="153">
        <v>0</v>
      </c>
      <c r="AX53" s="153">
        <v>0</v>
      </c>
      <c r="AY53" s="153">
        <v>0</v>
      </c>
      <c r="BU53" s="151"/>
      <c r="BV53" s="47"/>
      <c r="BW53" s="151"/>
      <c r="BX53" s="72" t="s">
        <v>45</v>
      </c>
      <c r="BY53" s="73">
        <v>0</v>
      </c>
      <c r="BZ53" s="73">
        <v>4</v>
      </c>
      <c r="CA53" s="73">
        <v>4</v>
      </c>
      <c r="CB53" s="73">
        <v>144</v>
      </c>
      <c r="CC53" s="73">
        <v>1</v>
      </c>
      <c r="CD53" s="73">
        <v>145</v>
      </c>
      <c r="CE53" s="73">
        <v>-144</v>
      </c>
      <c r="CF53" s="73">
        <v>3</v>
      </c>
      <c r="CG53" s="73">
        <v>-141</v>
      </c>
      <c r="CH53" s="74"/>
      <c r="CI53" s="74"/>
      <c r="CJ53" s="74"/>
      <c r="CK53" s="155"/>
      <c r="CL53" s="151"/>
      <c r="CM53" s="151"/>
      <c r="CN53" s="151"/>
      <c r="CO53" s="151"/>
      <c r="CP53" s="151"/>
      <c r="CQ53" s="151"/>
      <c r="CR53" s="151"/>
      <c r="CS53" s="151"/>
      <c r="CT53" s="151"/>
      <c r="CU53" s="151"/>
      <c r="CV53" s="151"/>
      <c r="CX53" s="39"/>
      <c r="CY53" s="49">
        <v>0</v>
      </c>
      <c r="CZ53" s="51">
        <v>0</v>
      </c>
      <c r="DA53" s="52">
        <v>0</v>
      </c>
      <c r="DB53" s="52">
        <v>0</v>
      </c>
      <c r="DC53" s="53">
        <v>0</v>
      </c>
      <c r="DD53" s="50">
        <v>0</v>
      </c>
      <c r="DE53" s="51">
        <v>0</v>
      </c>
      <c r="DF53" s="52">
        <v>0</v>
      </c>
      <c r="DG53" s="52">
        <v>0</v>
      </c>
      <c r="DH53" s="53">
        <v>0</v>
      </c>
      <c r="DI53" s="54">
        <v>0</v>
      </c>
      <c r="DJ53" s="151"/>
      <c r="DK53" s="151"/>
      <c r="DL53" s="39"/>
      <c r="DM53" s="49">
        <v>0</v>
      </c>
      <c r="DN53" s="51">
        <v>0</v>
      </c>
      <c r="DO53" s="52">
        <v>0</v>
      </c>
      <c r="DP53" s="52">
        <v>0</v>
      </c>
      <c r="DQ53" s="53">
        <v>0</v>
      </c>
      <c r="DR53" s="50">
        <v>0</v>
      </c>
      <c r="DS53" s="51">
        <v>0</v>
      </c>
      <c r="DT53" s="52">
        <v>0</v>
      </c>
      <c r="DU53" s="52">
        <v>0</v>
      </c>
      <c r="DV53" s="53">
        <v>0</v>
      </c>
      <c r="DW53" s="54">
        <v>0</v>
      </c>
      <c r="EF53" s="45" t="s">
        <v>106</v>
      </c>
      <c r="EG53" s="5" t="e">
        <v>#N/A</v>
      </c>
    </row>
    <row r="54" spans="1:137" x14ac:dyDescent="0.25">
      <c r="B54" s="78"/>
      <c r="C54" s="78"/>
      <c r="D54" s="78"/>
      <c r="L54" s="120"/>
      <c r="M54" s="120"/>
      <c r="AA54" s="12"/>
      <c r="AB54" s="12"/>
      <c r="AC54" s="12"/>
      <c r="AD54" s="12"/>
      <c r="AE54" s="12"/>
      <c r="AF54" s="12"/>
      <c r="AN54" s="13"/>
      <c r="AQ54" s="68">
        <v>46143</v>
      </c>
      <c r="AR54" s="153">
        <v>0</v>
      </c>
      <c r="AS54" s="153">
        <v>0</v>
      </c>
      <c r="AT54" s="153">
        <v>0</v>
      </c>
      <c r="AU54" s="153">
        <v>0</v>
      </c>
      <c r="AV54" s="153">
        <v>0</v>
      </c>
      <c r="AW54" s="153">
        <v>0</v>
      </c>
      <c r="AX54" s="153">
        <v>0</v>
      </c>
      <c r="AY54" s="153">
        <v>0</v>
      </c>
      <c r="BU54" s="151"/>
      <c r="BV54" s="47"/>
      <c r="BW54" s="151"/>
      <c r="BX54" s="72" t="s">
        <v>47</v>
      </c>
      <c r="BY54" s="73">
        <v>0</v>
      </c>
      <c r="BZ54" s="73">
        <v>0</v>
      </c>
      <c r="CA54" s="73">
        <v>0</v>
      </c>
      <c r="CB54" s="73">
        <v>0</v>
      </c>
      <c r="CC54" s="73">
        <v>2</v>
      </c>
      <c r="CD54" s="73">
        <v>2</v>
      </c>
      <c r="CE54" s="73">
        <v>0</v>
      </c>
      <c r="CF54" s="73">
        <v>-2</v>
      </c>
      <c r="CG54" s="73">
        <v>-2</v>
      </c>
      <c r="CH54" s="74"/>
      <c r="CI54" s="74"/>
      <c r="CJ54" s="74"/>
      <c r="CK54" s="155"/>
      <c r="CL54" s="151"/>
      <c r="CM54" s="151"/>
      <c r="CN54" s="151"/>
      <c r="CO54" s="151"/>
      <c r="CP54" s="151"/>
      <c r="CQ54" s="151"/>
      <c r="CR54" s="151"/>
      <c r="CS54" s="151"/>
      <c r="CT54" s="151"/>
      <c r="CU54" s="151"/>
      <c r="CV54" s="151"/>
      <c r="CX54" s="39"/>
      <c r="CY54" s="49">
        <v>0</v>
      </c>
      <c r="CZ54" s="51">
        <v>0</v>
      </c>
      <c r="DA54" s="52">
        <v>0</v>
      </c>
      <c r="DB54" s="52">
        <v>0</v>
      </c>
      <c r="DC54" s="53">
        <v>0</v>
      </c>
      <c r="DD54" s="50">
        <v>0</v>
      </c>
      <c r="DE54" s="51">
        <v>0</v>
      </c>
      <c r="DF54" s="52">
        <v>0</v>
      </c>
      <c r="DG54" s="52">
        <v>0</v>
      </c>
      <c r="DH54" s="53">
        <v>0</v>
      </c>
      <c r="DI54" s="54">
        <v>0</v>
      </c>
      <c r="DL54" s="39"/>
      <c r="DM54" s="49">
        <v>0</v>
      </c>
      <c r="DN54" s="51">
        <v>0</v>
      </c>
      <c r="DO54" s="52">
        <v>0</v>
      </c>
      <c r="DP54" s="52">
        <v>0</v>
      </c>
      <c r="DQ54" s="53">
        <v>0</v>
      </c>
      <c r="DR54" s="50">
        <v>0</v>
      </c>
      <c r="DS54" s="51">
        <v>0</v>
      </c>
      <c r="DT54" s="52">
        <v>0</v>
      </c>
      <c r="DU54" s="52">
        <v>0</v>
      </c>
      <c r="DV54" s="53">
        <v>0</v>
      </c>
      <c r="DW54" s="54">
        <v>0</v>
      </c>
      <c r="EF54" s="55" t="s">
        <v>107</v>
      </c>
      <c r="EG54" s="5" t="e">
        <v>#N/A</v>
      </c>
    </row>
    <row r="55" spans="1:137" x14ac:dyDescent="0.25">
      <c r="B55" s="78"/>
      <c r="C55" s="78"/>
      <c r="D55" s="78"/>
      <c r="L55" s="120"/>
      <c r="M55" s="120"/>
      <c r="AN55" s="13"/>
      <c r="AQ55" s="68">
        <v>46174</v>
      </c>
      <c r="AR55" s="153">
        <v>0</v>
      </c>
      <c r="AS55" s="153">
        <v>0</v>
      </c>
      <c r="AT55" s="153">
        <v>0</v>
      </c>
      <c r="AU55" s="153">
        <v>0</v>
      </c>
      <c r="AV55" s="153">
        <v>0</v>
      </c>
      <c r="AW55" s="153">
        <v>0</v>
      </c>
      <c r="AX55" s="153">
        <v>0</v>
      </c>
      <c r="AY55" s="153">
        <v>0</v>
      </c>
      <c r="BU55" s="151"/>
      <c r="BV55" s="47"/>
      <c r="BW55" s="151"/>
      <c r="BX55" s="72" t="s">
        <v>49</v>
      </c>
      <c r="BY55" s="73">
        <v>0</v>
      </c>
      <c r="BZ55" s="73">
        <v>27</v>
      </c>
      <c r="CA55" s="73">
        <v>27</v>
      </c>
      <c r="CB55" s="73">
        <v>0</v>
      </c>
      <c r="CC55" s="73">
        <v>20</v>
      </c>
      <c r="CD55" s="73">
        <v>20</v>
      </c>
      <c r="CE55" s="73">
        <v>0</v>
      </c>
      <c r="CF55" s="73">
        <v>7</v>
      </c>
      <c r="CG55" s="73">
        <v>7</v>
      </c>
      <c r="CH55" s="155"/>
      <c r="CI55" s="155"/>
      <c r="CJ55" s="155"/>
      <c r="CK55" s="155"/>
      <c r="CL55" s="151"/>
      <c r="CM55" s="151"/>
      <c r="CN55" s="151"/>
      <c r="CO55" s="151"/>
      <c r="CP55" s="151"/>
      <c r="CQ55" s="151"/>
      <c r="CR55" s="151"/>
      <c r="CS55" s="151"/>
      <c r="CT55" s="151"/>
      <c r="CU55" s="151"/>
      <c r="CV55" s="151"/>
      <c r="CX55" s="39"/>
      <c r="CY55" s="49">
        <v>0</v>
      </c>
      <c r="CZ55" s="51">
        <v>0</v>
      </c>
      <c r="DA55" s="52">
        <v>0</v>
      </c>
      <c r="DB55" s="52">
        <v>0</v>
      </c>
      <c r="DC55" s="53">
        <v>0</v>
      </c>
      <c r="DD55" s="50">
        <v>0</v>
      </c>
      <c r="DE55" s="51">
        <v>0</v>
      </c>
      <c r="DF55" s="52">
        <v>0</v>
      </c>
      <c r="DG55" s="52">
        <v>0</v>
      </c>
      <c r="DH55" s="53">
        <v>0</v>
      </c>
      <c r="DI55" s="54">
        <v>0</v>
      </c>
      <c r="DL55" s="39"/>
      <c r="DM55" s="49">
        <v>0</v>
      </c>
      <c r="DN55" s="51">
        <v>0</v>
      </c>
      <c r="DO55" s="52">
        <v>0</v>
      </c>
      <c r="DP55" s="52">
        <v>0</v>
      </c>
      <c r="DQ55" s="53">
        <v>0</v>
      </c>
      <c r="DR55" s="50">
        <v>0</v>
      </c>
      <c r="DS55" s="51">
        <v>0</v>
      </c>
      <c r="DT55" s="52">
        <v>0</v>
      </c>
      <c r="DU55" s="52">
        <v>0</v>
      </c>
      <c r="DV55" s="53">
        <v>0</v>
      </c>
      <c r="DW55" s="54">
        <v>0</v>
      </c>
      <c r="EF55" s="45" t="s">
        <v>108</v>
      </c>
      <c r="EG55" s="5" t="e">
        <v>#N/A</v>
      </c>
    </row>
    <row r="56" spans="1:137" ht="14.1" customHeight="1" thickBot="1" x14ac:dyDescent="0.3">
      <c r="AN56" s="13"/>
      <c r="AQ56" s="68">
        <v>46204</v>
      </c>
      <c r="AR56" s="153">
        <v>22494.500000000004</v>
      </c>
      <c r="AS56" s="153">
        <v>-16002.949999999993</v>
      </c>
      <c r="AT56" s="153">
        <v>-129.75</v>
      </c>
      <c r="AU56" s="153">
        <v>4265665.3000000007</v>
      </c>
      <c r="AV56" s="153">
        <v>-2233112.4000000004</v>
      </c>
      <c r="AW56" s="153">
        <v>285768.32000000001</v>
      </c>
      <c r="AX56" s="153">
        <v>2506.599999999999</v>
      </c>
      <c r="AY56" s="153">
        <v>2488</v>
      </c>
      <c r="BV56" s="47"/>
      <c r="BX56" s="72" t="s">
        <v>39</v>
      </c>
      <c r="BY56" s="73">
        <v>3</v>
      </c>
      <c r="BZ56" s="73">
        <v>7</v>
      </c>
      <c r="CA56" s="73">
        <v>10</v>
      </c>
      <c r="CB56" s="73">
        <v>61</v>
      </c>
      <c r="CC56" s="73">
        <v>2</v>
      </c>
      <c r="CD56" s="73">
        <v>63</v>
      </c>
      <c r="CE56" s="73">
        <v>-58</v>
      </c>
      <c r="CF56" s="73">
        <v>5</v>
      </c>
      <c r="CG56" s="73">
        <v>-53</v>
      </c>
      <c r="CH56" s="155"/>
      <c r="CI56" s="155"/>
      <c r="CJ56" s="155"/>
      <c r="CK56" s="74"/>
      <c r="CX56" s="39"/>
      <c r="CY56" s="49">
        <v>0</v>
      </c>
      <c r="CZ56" s="51">
        <v>0</v>
      </c>
      <c r="DA56" s="52">
        <v>0</v>
      </c>
      <c r="DB56" s="52">
        <v>0</v>
      </c>
      <c r="DC56" s="53">
        <v>0</v>
      </c>
      <c r="DD56" s="50">
        <v>0</v>
      </c>
      <c r="DE56" s="51">
        <v>0</v>
      </c>
      <c r="DF56" s="52">
        <v>0</v>
      </c>
      <c r="DG56" s="52">
        <v>0</v>
      </c>
      <c r="DH56" s="53">
        <v>0</v>
      </c>
      <c r="DI56" s="54">
        <v>0</v>
      </c>
      <c r="DL56" s="39"/>
      <c r="DM56" s="61">
        <v>0</v>
      </c>
      <c r="DN56" s="63">
        <v>0</v>
      </c>
      <c r="DO56" s="64">
        <v>0</v>
      </c>
      <c r="DP56" s="64">
        <v>0</v>
      </c>
      <c r="DQ56" s="65">
        <v>0</v>
      </c>
      <c r="DR56" s="62">
        <v>0</v>
      </c>
      <c r="DS56" s="63">
        <v>0</v>
      </c>
      <c r="DT56" s="64">
        <v>0</v>
      </c>
      <c r="DU56" s="64">
        <v>0</v>
      </c>
      <c r="DV56" s="65">
        <v>0</v>
      </c>
      <c r="DW56" s="66">
        <v>0</v>
      </c>
      <c r="EF56" s="55" t="s">
        <v>109</v>
      </c>
      <c r="EG56" s="5" t="e">
        <v>#N/A</v>
      </c>
    </row>
    <row r="57" spans="1:137" ht="15" thickTop="1" thickBot="1" x14ac:dyDescent="0.3">
      <c r="AN57" s="13"/>
      <c r="AQ57" s="68">
        <v>46235</v>
      </c>
      <c r="AR57" s="153">
        <v>16494.25</v>
      </c>
      <c r="AS57" s="153">
        <v>-7146.4999999999991</v>
      </c>
      <c r="AT57" s="153">
        <v>93</v>
      </c>
      <c r="AU57" s="153">
        <v>3163467.2</v>
      </c>
      <c r="AV57" s="153">
        <v>-464992</v>
      </c>
      <c r="AW57" s="153">
        <v>97183.560000000012</v>
      </c>
      <c r="AX57" s="153">
        <v>1182.1000000000004</v>
      </c>
      <c r="AY57" s="153">
        <v>980.3</v>
      </c>
      <c r="BV57" s="47"/>
      <c r="BX57" s="88" t="s">
        <v>59</v>
      </c>
      <c r="BY57" s="73">
        <v>0</v>
      </c>
      <c r="BZ57" s="73">
        <v>0</v>
      </c>
      <c r="CA57" s="73">
        <v>0</v>
      </c>
      <c r="CB57" s="73">
        <v>0</v>
      </c>
      <c r="CC57" s="73">
        <v>9</v>
      </c>
      <c r="CD57" s="73">
        <v>9</v>
      </c>
      <c r="CE57" s="73">
        <v>0</v>
      </c>
      <c r="CF57" s="73">
        <v>-9</v>
      </c>
      <c r="CG57" s="73">
        <v>-9</v>
      </c>
      <c r="CH57" s="155"/>
      <c r="CI57" s="155"/>
      <c r="CJ57" s="155"/>
      <c r="CK57" s="74"/>
      <c r="CY57" s="61">
        <v>0</v>
      </c>
      <c r="CZ57" s="63">
        <v>0</v>
      </c>
      <c r="DA57" s="64">
        <v>0</v>
      </c>
      <c r="DB57" s="64">
        <v>0</v>
      </c>
      <c r="DC57" s="65">
        <v>0</v>
      </c>
      <c r="DD57" s="62">
        <v>0</v>
      </c>
      <c r="DE57" s="63">
        <v>0</v>
      </c>
      <c r="DF57" s="64">
        <v>0</v>
      </c>
      <c r="DG57" s="64">
        <v>0</v>
      </c>
      <c r="DH57" s="65">
        <v>0</v>
      </c>
      <c r="DI57" s="66">
        <v>0</v>
      </c>
      <c r="DL57" s="39"/>
      <c r="DM57" s="61">
        <v>0</v>
      </c>
      <c r="DN57" s="63">
        <v>0</v>
      </c>
      <c r="DO57" s="64">
        <v>0</v>
      </c>
      <c r="DP57" s="64">
        <v>0</v>
      </c>
      <c r="DQ57" s="65">
        <v>0</v>
      </c>
      <c r="DR57" s="62">
        <v>0</v>
      </c>
      <c r="DS57" s="63">
        <v>0</v>
      </c>
      <c r="DT57" s="64">
        <v>0</v>
      </c>
      <c r="DU57" s="64">
        <v>0</v>
      </c>
      <c r="DV57" s="65">
        <v>0</v>
      </c>
      <c r="DW57" s="66">
        <v>0</v>
      </c>
      <c r="EF57" s="156" t="s">
        <v>110</v>
      </c>
      <c r="EG57" s="5" t="e">
        <v>#N/A</v>
      </c>
    </row>
    <row r="58" spans="1:137" x14ac:dyDescent="0.25">
      <c r="AN58" s="13"/>
      <c r="BV58" s="47"/>
      <c r="BX58" s="94" t="s">
        <v>36</v>
      </c>
      <c r="BY58" s="95">
        <v>3</v>
      </c>
      <c r="BZ58" s="95">
        <v>214</v>
      </c>
      <c r="CA58" s="95">
        <v>217</v>
      </c>
      <c r="CB58" s="95">
        <v>207</v>
      </c>
      <c r="CC58" s="95">
        <v>99</v>
      </c>
      <c r="CD58" s="95">
        <v>306</v>
      </c>
      <c r="CE58" s="95">
        <v>-204</v>
      </c>
      <c r="CF58" s="95">
        <v>115</v>
      </c>
      <c r="CG58" s="95">
        <v>-89</v>
      </c>
      <c r="CH58" s="74"/>
      <c r="CI58" s="74"/>
      <c r="CJ58" s="74"/>
      <c r="CK58" s="74"/>
      <c r="CY58" s="5">
        <v>0</v>
      </c>
      <c r="CZ58" s="157">
        <v>0</v>
      </c>
      <c r="DA58" s="157">
        <v>0</v>
      </c>
      <c r="DB58" s="157">
        <v>0</v>
      </c>
      <c r="DC58" s="157">
        <v>0</v>
      </c>
      <c r="DD58" s="157">
        <v>0</v>
      </c>
      <c r="DE58" s="157">
        <v>0</v>
      </c>
      <c r="DF58" s="157">
        <v>0</v>
      </c>
      <c r="DG58" s="157">
        <v>0</v>
      </c>
      <c r="DH58" s="157">
        <v>0</v>
      </c>
      <c r="DI58" s="157">
        <v>0</v>
      </c>
      <c r="DN58" s="157">
        <v>0</v>
      </c>
      <c r="DO58" s="157">
        <v>0</v>
      </c>
      <c r="DP58" s="157">
        <v>0</v>
      </c>
      <c r="DQ58" s="157">
        <v>0</v>
      </c>
      <c r="DR58" s="157">
        <v>0</v>
      </c>
      <c r="DS58" s="157">
        <v>0</v>
      </c>
      <c r="DT58" s="157">
        <v>0</v>
      </c>
      <c r="DU58" s="157">
        <v>0</v>
      </c>
      <c r="DV58" s="157">
        <v>0</v>
      </c>
      <c r="DW58" s="157">
        <v>0</v>
      </c>
    </row>
    <row r="59" spans="1:137" x14ac:dyDescent="0.25">
      <c r="AN59" s="13"/>
      <c r="BV59" s="47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Z59" s="38"/>
      <c r="DN59" s="38"/>
    </row>
    <row r="60" spans="1:137" x14ac:dyDescent="0.25">
      <c r="AN60" s="13"/>
      <c r="BV60" s="47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Z60" s="157">
        <v>0</v>
      </c>
      <c r="DE60" s="157">
        <v>0</v>
      </c>
    </row>
    <row r="61" spans="1:137" x14ac:dyDescent="0.25">
      <c r="AN61" s="13"/>
      <c r="BV61" s="47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</row>
    <row r="62" spans="1:137" x14ac:dyDescent="0.25">
      <c r="AN62" s="13"/>
      <c r="BV62" s="47"/>
      <c r="BY62" s="177" t="s">
        <v>111</v>
      </c>
      <c r="BZ62" s="178"/>
      <c r="CA62" s="178"/>
      <c r="CB62" s="178"/>
      <c r="CC62" s="178"/>
      <c r="CD62" s="178"/>
      <c r="CE62" s="178"/>
      <c r="CF62" s="178"/>
      <c r="CG62" s="178"/>
      <c r="CH62" s="74"/>
      <c r="CI62" s="74"/>
      <c r="CJ62" s="74"/>
      <c r="CK62" s="74"/>
    </row>
    <row r="63" spans="1:137" x14ac:dyDescent="0.25">
      <c r="AN63" s="13"/>
      <c r="BV63" s="47"/>
      <c r="BY63" s="60" t="s">
        <v>18</v>
      </c>
      <c r="BZ63" s="60"/>
      <c r="CA63" s="60"/>
      <c r="CB63" s="60" t="s">
        <v>19</v>
      </c>
      <c r="CC63" s="60"/>
      <c r="CD63" s="60"/>
      <c r="CE63" s="60" t="s">
        <v>100</v>
      </c>
      <c r="CF63" s="60"/>
      <c r="CG63" s="60"/>
      <c r="CH63" s="74"/>
      <c r="CI63" s="74"/>
      <c r="CJ63" s="74"/>
      <c r="CK63" s="74"/>
    </row>
    <row r="64" spans="1:137" x14ac:dyDescent="0.25">
      <c r="AN64" s="13"/>
      <c r="BV64" s="47"/>
      <c r="BX64" s="68" t="s">
        <v>33</v>
      </c>
      <c r="BY64" s="114" t="s">
        <v>34</v>
      </c>
      <c r="BZ64" s="115" t="s">
        <v>35</v>
      </c>
      <c r="CA64" s="115" t="s">
        <v>36</v>
      </c>
      <c r="CB64" s="115" t="s">
        <v>34</v>
      </c>
      <c r="CC64" s="115" t="s">
        <v>35</v>
      </c>
      <c r="CD64" s="115" t="s">
        <v>36</v>
      </c>
      <c r="CE64" s="115" t="s">
        <v>34</v>
      </c>
      <c r="CF64" s="115" t="s">
        <v>35</v>
      </c>
      <c r="CG64" s="115" t="s">
        <v>36</v>
      </c>
      <c r="CH64" s="74"/>
      <c r="CI64" s="74"/>
      <c r="CJ64" s="74"/>
    </row>
    <row r="65" spans="19:88" x14ac:dyDescent="0.25">
      <c r="BV65" s="47"/>
      <c r="BX65" s="72" t="s">
        <v>38</v>
      </c>
      <c r="BY65" s="73">
        <v>0</v>
      </c>
      <c r="BZ65" s="73">
        <v>0</v>
      </c>
      <c r="CA65" s="73">
        <v>0</v>
      </c>
      <c r="CB65" s="73">
        <v>0</v>
      </c>
      <c r="CC65" s="73">
        <v>0</v>
      </c>
      <c r="CD65" s="73">
        <v>0</v>
      </c>
      <c r="CE65" s="73">
        <v>0</v>
      </c>
      <c r="CF65" s="73">
        <v>0</v>
      </c>
      <c r="CG65" s="73">
        <v>0</v>
      </c>
      <c r="CH65" s="74"/>
      <c r="CI65" s="74"/>
      <c r="CJ65" s="74"/>
    </row>
    <row r="66" spans="19:88" x14ac:dyDescent="0.25">
      <c r="BV66" s="47"/>
      <c r="BX66" s="72" t="s">
        <v>41</v>
      </c>
      <c r="BY66" s="73">
        <v>0</v>
      </c>
      <c r="BZ66" s="73">
        <v>0</v>
      </c>
      <c r="CA66" s="73">
        <v>0</v>
      </c>
      <c r="CB66" s="73">
        <v>0</v>
      </c>
      <c r="CC66" s="73">
        <v>0</v>
      </c>
      <c r="CD66" s="73">
        <v>0</v>
      </c>
      <c r="CE66" s="73">
        <v>0</v>
      </c>
      <c r="CF66" s="73">
        <v>0</v>
      </c>
      <c r="CG66" s="73">
        <v>0</v>
      </c>
    </row>
    <row r="67" spans="19:88" x14ac:dyDescent="0.25">
      <c r="BV67" s="47"/>
      <c r="BX67" s="72" t="s">
        <v>43</v>
      </c>
      <c r="BY67" s="73">
        <v>0</v>
      </c>
      <c r="BZ67" s="73">
        <v>0</v>
      </c>
      <c r="CA67" s="73">
        <v>0</v>
      </c>
      <c r="CB67" s="73">
        <v>0</v>
      </c>
      <c r="CC67" s="73">
        <v>0</v>
      </c>
      <c r="CD67" s="73">
        <v>0</v>
      </c>
      <c r="CE67" s="73">
        <v>0</v>
      </c>
      <c r="CF67" s="73">
        <v>0</v>
      </c>
      <c r="CG67" s="73">
        <v>0</v>
      </c>
    </row>
    <row r="68" spans="19:88" x14ac:dyDescent="0.25">
      <c r="BV68" s="47"/>
      <c r="BX68" s="72" t="s">
        <v>45</v>
      </c>
      <c r="BY68" s="73">
        <v>0</v>
      </c>
      <c r="BZ68" s="73">
        <v>0</v>
      </c>
      <c r="CA68" s="73">
        <v>0</v>
      </c>
      <c r="CB68" s="73">
        <v>3</v>
      </c>
      <c r="CC68" s="73">
        <v>0</v>
      </c>
      <c r="CD68" s="73">
        <v>3</v>
      </c>
      <c r="CE68" s="73">
        <v>-3</v>
      </c>
      <c r="CF68" s="73">
        <v>0</v>
      </c>
      <c r="CG68" s="73">
        <v>-3</v>
      </c>
    </row>
    <row r="69" spans="19:88" x14ac:dyDescent="0.25">
      <c r="BV69" s="47"/>
      <c r="BX69" s="72" t="s">
        <v>47</v>
      </c>
      <c r="BY69" s="73">
        <v>0</v>
      </c>
      <c r="BZ69" s="73">
        <v>0</v>
      </c>
      <c r="CA69" s="73">
        <v>0</v>
      </c>
      <c r="CB69" s="73">
        <v>0</v>
      </c>
      <c r="CC69" s="73">
        <v>0</v>
      </c>
      <c r="CD69" s="73">
        <v>0</v>
      </c>
      <c r="CE69" s="73">
        <v>0</v>
      </c>
      <c r="CF69" s="73">
        <v>0</v>
      </c>
      <c r="CG69" s="73">
        <v>0</v>
      </c>
    </row>
    <row r="70" spans="19:88" x14ac:dyDescent="0.25">
      <c r="BS70" s="74"/>
      <c r="BT70" s="74"/>
      <c r="BU70" s="74"/>
      <c r="BV70" s="74"/>
      <c r="BW70" s="74"/>
      <c r="BX70" s="72" t="s">
        <v>49</v>
      </c>
      <c r="BY70" s="73">
        <v>0</v>
      </c>
      <c r="BZ70" s="73">
        <v>0</v>
      </c>
      <c r="CA70" s="73">
        <v>0</v>
      </c>
      <c r="CB70" s="73">
        <v>2</v>
      </c>
      <c r="CC70" s="73">
        <v>0</v>
      </c>
      <c r="CD70" s="73">
        <v>2</v>
      </c>
      <c r="CE70" s="73">
        <v>-2</v>
      </c>
      <c r="CF70" s="73">
        <v>0</v>
      </c>
      <c r="CG70" s="73">
        <v>-2</v>
      </c>
    </row>
    <row r="71" spans="19:88" x14ac:dyDescent="0.25">
      <c r="BS71" s="74"/>
      <c r="BT71" s="74"/>
      <c r="BU71" s="74"/>
      <c r="BV71" s="74"/>
      <c r="BW71" s="74"/>
      <c r="BX71" s="72" t="s">
        <v>39</v>
      </c>
      <c r="BY71" s="73">
        <v>0</v>
      </c>
      <c r="BZ71" s="73">
        <v>0</v>
      </c>
      <c r="CA71" s="73">
        <v>0</v>
      </c>
      <c r="CB71" s="73">
        <v>1</v>
      </c>
      <c r="CC71" s="73">
        <v>0</v>
      </c>
      <c r="CD71" s="73">
        <v>1</v>
      </c>
      <c r="CE71" s="73">
        <v>-1</v>
      </c>
      <c r="CF71" s="73">
        <v>0</v>
      </c>
      <c r="CG71" s="73">
        <v>-1</v>
      </c>
    </row>
    <row r="72" spans="19:88" ht="14.4" thickBot="1" x14ac:dyDescent="0.3">
      <c r="BX72" s="88" t="s">
        <v>59</v>
      </c>
      <c r="BY72" s="73">
        <v>0</v>
      </c>
      <c r="BZ72" s="73">
        <v>0</v>
      </c>
      <c r="CA72" s="73">
        <v>0</v>
      </c>
      <c r="CB72" s="73">
        <v>0</v>
      </c>
      <c r="CC72" s="73">
        <v>0</v>
      </c>
      <c r="CD72" s="73">
        <v>0</v>
      </c>
      <c r="CE72" s="73">
        <v>0</v>
      </c>
      <c r="CF72" s="73">
        <v>0</v>
      </c>
      <c r="CG72" s="73">
        <v>0</v>
      </c>
    </row>
    <row r="73" spans="19:88" x14ac:dyDescent="0.25">
      <c r="BX73" s="94" t="s">
        <v>36</v>
      </c>
      <c r="BY73" s="95">
        <v>0</v>
      </c>
      <c r="BZ73" s="95">
        <v>0</v>
      </c>
      <c r="CA73" s="95">
        <v>0</v>
      </c>
      <c r="CB73" s="95">
        <v>0</v>
      </c>
      <c r="CC73" s="95">
        <v>0</v>
      </c>
      <c r="CD73" s="95">
        <v>0</v>
      </c>
      <c r="CE73" s="95">
        <v>0</v>
      </c>
      <c r="CF73" s="95">
        <v>0</v>
      </c>
      <c r="CG73" s="95">
        <v>0</v>
      </c>
    </row>
    <row r="74" spans="19:88" x14ac:dyDescent="0.25">
      <c r="BX74" s="74"/>
      <c r="BY74" s="74"/>
      <c r="BZ74" s="74"/>
      <c r="CA74" s="74"/>
      <c r="CB74" s="74"/>
      <c r="CC74" s="74"/>
      <c r="CD74" s="74"/>
      <c r="CE74" s="74"/>
    </row>
    <row r="75" spans="19:88" x14ac:dyDescent="0.25">
      <c r="S75" s="38"/>
    </row>
    <row r="76" spans="19:88" x14ac:dyDescent="0.25">
      <c r="S76" s="38"/>
    </row>
    <row r="77" spans="19:88" x14ac:dyDescent="0.25">
      <c r="S77" s="38"/>
    </row>
    <row r="78" spans="19:88" x14ac:dyDescent="0.25">
      <c r="S78" s="38"/>
    </row>
    <row r="102" spans="8:11" x14ac:dyDescent="0.25">
      <c r="H102" s="74"/>
      <c r="I102" s="74"/>
      <c r="K102" s="38"/>
    </row>
    <row r="103" spans="8:11" x14ac:dyDescent="0.25">
      <c r="H103" s="74"/>
      <c r="I103" s="74"/>
      <c r="J103" s="38"/>
    </row>
    <row r="110" spans="8:11" hidden="1" x14ac:dyDescent="0.25"/>
    <row r="111" spans="8:11" hidden="1" x14ac:dyDescent="0.25"/>
    <row r="112" spans="8:11" hidden="1" x14ac:dyDescent="0.25"/>
    <row r="113" hidden="1" x14ac:dyDescent="0.25"/>
    <row r="114" hidden="1" x14ac:dyDescent="0.25"/>
    <row r="115" hidden="1" x14ac:dyDescent="0.25"/>
    <row r="116" hidden="1" x14ac:dyDescent="0.25"/>
    <row r="136" spans="1:18" ht="14.4" thickBot="1" x14ac:dyDescent="0.3"/>
    <row r="137" spans="1:18" ht="14.4" thickTop="1" x14ac:dyDescent="0.25">
      <c r="A137" s="158" t="s">
        <v>7</v>
      </c>
      <c r="B137" s="81" t="s">
        <v>5</v>
      </c>
      <c r="C137" s="80"/>
      <c r="D137" s="82"/>
      <c r="E137" s="81" t="s">
        <v>6</v>
      </c>
      <c r="F137" s="80"/>
      <c r="G137" s="82"/>
      <c r="L137" s="159" t="s">
        <v>7</v>
      </c>
      <c r="M137" s="81" t="s">
        <v>53</v>
      </c>
      <c r="N137" s="80"/>
      <c r="O137" s="82"/>
      <c r="P137" s="81" t="s">
        <v>112</v>
      </c>
      <c r="Q137" s="80"/>
      <c r="R137" s="82"/>
    </row>
    <row r="138" spans="1:18" x14ac:dyDescent="0.25">
      <c r="A138" s="160" t="s">
        <v>113</v>
      </c>
      <c r="B138" s="161" t="s">
        <v>56</v>
      </c>
      <c r="C138" s="162" t="s">
        <v>57</v>
      </c>
      <c r="D138" s="163" t="s">
        <v>58</v>
      </c>
      <c r="E138" s="161" t="s">
        <v>56</v>
      </c>
      <c r="F138" s="162" t="s">
        <v>57</v>
      </c>
      <c r="G138" s="163" t="s">
        <v>58</v>
      </c>
      <c r="L138" s="160" t="s">
        <v>113</v>
      </c>
      <c r="M138" s="161" t="s">
        <v>56</v>
      </c>
      <c r="N138" s="162" t="s">
        <v>57</v>
      </c>
      <c r="O138" s="163" t="s">
        <v>58</v>
      </c>
      <c r="P138" s="161" t="s">
        <v>56</v>
      </c>
      <c r="Q138" s="162" t="s">
        <v>57</v>
      </c>
      <c r="R138" s="163" t="s">
        <v>58</v>
      </c>
    </row>
    <row r="139" spans="1:18" x14ac:dyDescent="0.25">
      <c r="A139" s="164">
        <v>46082</v>
      </c>
      <c r="B139" s="165">
        <v>0</v>
      </c>
      <c r="C139" s="153">
        <v>0</v>
      </c>
      <c r="D139" s="166" t="s">
        <v>120</v>
      </c>
      <c r="E139" s="165">
        <v>0</v>
      </c>
      <c r="F139" s="153">
        <v>0</v>
      </c>
      <c r="G139" s="166" t="s">
        <v>120</v>
      </c>
      <c r="L139" s="164" t="s">
        <v>114</v>
      </c>
      <c r="M139" s="165">
        <v>578055985.99657273</v>
      </c>
      <c r="N139" s="153">
        <v>599000000</v>
      </c>
      <c r="O139" s="166">
        <v>0.96503503505270904</v>
      </c>
      <c r="P139" s="165">
        <v>295751.15000000002</v>
      </c>
      <c r="Q139" s="153">
        <v>200000</v>
      </c>
      <c r="R139" s="166">
        <v>1.4787557500000001</v>
      </c>
    </row>
    <row r="140" spans="1:18" x14ac:dyDescent="0.25">
      <c r="A140" s="164">
        <v>46113</v>
      </c>
      <c r="B140" s="165">
        <v>0</v>
      </c>
      <c r="C140" s="153">
        <v>5708</v>
      </c>
      <c r="D140" s="166">
        <v>0</v>
      </c>
      <c r="E140" s="165">
        <v>0</v>
      </c>
      <c r="F140" s="153">
        <v>1130562</v>
      </c>
      <c r="G140" s="166">
        <v>0</v>
      </c>
      <c r="K140" s="151"/>
      <c r="L140" s="164" t="s">
        <v>115</v>
      </c>
      <c r="M140" s="165">
        <v>631499744.20276141</v>
      </c>
      <c r="N140" s="153">
        <v>639000000</v>
      </c>
      <c r="O140" s="166">
        <v>0.98826251048945446</v>
      </c>
      <c r="P140" s="165">
        <v>249925</v>
      </c>
      <c r="Q140" s="153">
        <v>225000</v>
      </c>
      <c r="R140" s="166">
        <v>1.1107777777777779</v>
      </c>
    </row>
    <row r="141" spans="1:18" x14ac:dyDescent="0.25">
      <c r="A141" s="164">
        <v>46143</v>
      </c>
      <c r="B141" s="165">
        <v>0</v>
      </c>
      <c r="C141" s="153">
        <v>0</v>
      </c>
      <c r="D141" s="166" t="s">
        <v>120</v>
      </c>
      <c r="E141" s="165">
        <v>0</v>
      </c>
      <c r="F141" s="153">
        <v>0</v>
      </c>
      <c r="G141" s="166" t="s">
        <v>120</v>
      </c>
      <c r="K141" s="151"/>
      <c r="L141" s="164" t="s">
        <v>116</v>
      </c>
      <c r="M141" s="165">
        <v>632022268.0841167</v>
      </c>
      <c r="N141" s="153">
        <v>635000000</v>
      </c>
      <c r="O141" s="166">
        <v>0.99531065840018373</v>
      </c>
      <c r="P141" s="165">
        <v>457137.75</v>
      </c>
      <c r="Q141" s="153">
        <v>276000</v>
      </c>
      <c r="R141" s="166">
        <v>1.656296195652174</v>
      </c>
    </row>
    <row r="142" spans="1:18" x14ac:dyDescent="0.25">
      <c r="A142" s="164">
        <v>46174</v>
      </c>
      <c r="B142" s="165">
        <v>0</v>
      </c>
      <c r="C142" s="153">
        <v>0</v>
      </c>
      <c r="D142" s="166" t="s">
        <v>120</v>
      </c>
      <c r="E142" s="165">
        <v>0</v>
      </c>
      <c r="F142" s="153">
        <v>0</v>
      </c>
      <c r="G142" s="166" t="s">
        <v>120</v>
      </c>
      <c r="K142" s="151"/>
      <c r="L142" s="164" t="s">
        <v>117</v>
      </c>
      <c r="M142" s="165">
        <v>653797661.91921973</v>
      </c>
      <c r="N142" s="153">
        <v>0</v>
      </c>
      <c r="O142" s="166" t="s">
        <v>120</v>
      </c>
      <c r="P142" s="165">
        <v>476427.6</v>
      </c>
      <c r="Q142" s="153">
        <v>300000</v>
      </c>
      <c r="R142" s="166">
        <v>1.5880919999999998</v>
      </c>
    </row>
    <row r="143" spans="1:18" ht="14.4" thickBot="1" x14ac:dyDescent="0.3">
      <c r="A143" s="167" t="s">
        <v>118</v>
      </c>
      <c r="B143" s="168">
        <v>15802.55000000001</v>
      </c>
      <c r="C143" s="169">
        <v>26800</v>
      </c>
      <c r="D143" s="170">
        <v>0.58964738805970185</v>
      </c>
      <c r="E143" s="168">
        <v>5113979.9799999995</v>
      </c>
      <c r="F143" s="169">
        <v>3500000</v>
      </c>
      <c r="G143" s="170">
        <v>1.461137137142857</v>
      </c>
      <c r="L143" s="167" t="s">
        <v>118</v>
      </c>
      <c r="M143" s="168">
        <v>602063712.95273566</v>
      </c>
      <c r="N143" s="169">
        <v>220000</v>
      </c>
      <c r="O143" s="170">
        <v>2736.6532406942529</v>
      </c>
      <c r="P143" s="168">
        <v>329270.5</v>
      </c>
      <c r="Q143" s="169">
        <v>0</v>
      </c>
      <c r="R143" s="170" t="s">
        <v>120</v>
      </c>
    </row>
    <row r="144" spans="1:18" ht="14.4" thickTop="1" x14ac:dyDescent="0.25"/>
  </sheetData>
  <mergeCells count="13">
    <mergeCell ref="BY24:CJ24"/>
    <mergeCell ref="B3:Z3"/>
    <mergeCell ref="EK6:EK9"/>
    <mergeCell ref="BY9:CJ9"/>
    <mergeCell ref="A18:A20"/>
    <mergeCell ref="AQ20:AQ21"/>
    <mergeCell ref="BY62:CG62"/>
    <mergeCell ref="A31:A33"/>
    <mergeCell ref="AA33:AD33"/>
    <mergeCell ref="AA38:AD38"/>
    <mergeCell ref="AA45:AD45"/>
    <mergeCell ref="BY47:CG47"/>
    <mergeCell ref="AA51:AD51"/>
  </mergeCells>
  <conditionalFormatting sqref="P23:P28 Z21:Z28 U23:U28 D141:D143 G141:G143">
    <cfRule type="cellIs" dxfId="49" priority="49" operator="greaterThan">
      <formula>$BA$33</formula>
    </cfRule>
    <cfRule type="cellIs" dxfId="48" priority="50" operator="lessThan">
      <formula>$AY$33</formula>
    </cfRule>
  </conditionalFormatting>
  <conditionalFormatting sqref="P21">
    <cfRule type="cellIs" dxfId="47" priority="47" operator="greaterThan">
      <formula>$BA$33</formula>
    </cfRule>
    <cfRule type="cellIs" dxfId="46" priority="48" operator="lessThan">
      <formula>$AY$33</formula>
    </cfRule>
  </conditionalFormatting>
  <conditionalFormatting sqref="P22">
    <cfRule type="cellIs" dxfId="45" priority="45" operator="greaterThan">
      <formula>$BA$33</formula>
    </cfRule>
    <cfRule type="cellIs" dxfId="44" priority="46" operator="lessThan">
      <formula>$AY$33</formula>
    </cfRule>
  </conditionalFormatting>
  <conditionalFormatting sqref="P22">
    <cfRule type="cellIs" dxfId="43" priority="43" operator="greaterThan">
      <formula>$BA$33</formula>
    </cfRule>
    <cfRule type="cellIs" dxfId="42" priority="44" operator="lessThan">
      <formula>$AY$33</formula>
    </cfRule>
  </conditionalFormatting>
  <conditionalFormatting sqref="U21">
    <cfRule type="cellIs" dxfId="41" priority="41" operator="greaterThan">
      <formula>$BA$33</formula>
    </cfRule>
    <cfRule type="cellIs" dxfId="40" priority="42" operator="lessThan">
      <formula>$AY$33</formula>
    </cfRule>
  </conditionalFormatting>
  <conditionalFormatting sqref="U22">
    <cfRule type="cellIs" dxfId="39" priority="39" operator="greaterThan">
      <formula>$BA$33</formula>
    </cfRule>
    <cfRule type="cellIs" dxfId="38" priority="40" operator="lessThan">
      <formula>$AY$33</formula>
    </cfRule>
  </conditionalFormatting>
  <conditionalFormatting sqref="U22">
    <cfRule type="cellIs" dxfId="37" priority="37" operator="greaterThan">
      <formula>$BA$33</formula>
    </cfRule>
    <cfRule type="cellIs" dxfId="36" priority="38" operator="lessThan">
      <formula>$AY$33</formula>
    </cfRule>
  </conditionalFormatting>
  <conditionalFormatting sqref="D140">
    <cfRule type="cellIs" dxfId="35" priority="35" operator="greaterThan">
      <formula>$BA$33</formula>
    </cfRule>
    <cfRule type="cellIs" dxfId="34" priority="36" operator="lessThan">
      <formula>$AY$33</formula>
    </cfRule>
  </conditionalFormatting>
  <conditionalFormatting sqref="D139">
    <cfRule type="cellIs" dxfId="33" priority="33" operator="greaterThan">
      <formula>$BA$33</formula>
    </cfRule>
    <cfRule type="cellIs" dxfId="32" priority="34" operator="lessThan">
      <formula>$AY$33</formula>
    </cfRule>
  </conditionalFormatting>
  <conditionalFormatting sqref="G140">
    <cfRule type="cellIs" dxfId="31" priority="31" operator="greaterThan">
      <formula>$BA$33</formula>
    </cfRule>
    <cfRule type="cellIs" dxfId="30" priority="32" operator="lessThan">
      <formula>$AY$33</formula>
    </cfRule>
  </conditionalFormatting>
  <conditionalFormatting sqref="G139">
    <cfRule type="cellIs" dxfId="29" priority="29" operator="greaterThan">
      <formula>$BA$33</formula>
    </cfRule>
    <cfRule type="cellIs" dxfId="28" priority="30" operator="lessThan">
      <formula>$AY$33</formula>
    </cfRule>
  </conditionalFormatting>
  <conditionalFormatting sqref="R139:R143 O139:O143">
    <cfRule type="cellIs" dxfId="27" priority="27" operator="greaterThan">
      <formula>$C$29</formula>
    </cfRule>
    <cfRule type="cellIs" dxfId="26" priority="28" operator="lessThan">
      <formula>$A$29</formula>
    </cfRule>
  </conditionalFormatting>
  <conditionalFormatting sqref="F23:F28">
    <cfRule type="cellIs" dxfId="25" priority="25" operator="greaterThan">
      <formula>$BA$33</formula>
    </cfRule>
    <cfRule type="cellIs" dxfId="24" priority="26" operator="lessThan">
      <formula>$AY$33</formula>
    </cfRule>
  </conditionalFormatting>
  <conditionalFormatting sqref="F21:F22">
    <cfRule type="cellIs" dxfId="23" priority="23" operator="greaterThan">
      <formula>$BA$33</formula>
    </cfRule>
    <cfRule type="cellIs" dxfId="22" priority="24" operator="lessThan">
      <formula>$AY$33</formula>
    </cfRule>
  </conditionalFormatting>
  <conditionalFormatting sqref="K23:K28">
    <cfRule type="cellIs" dxfId="21" priority="21" operator="greaterThan">
      <formula>$BA$33</formula>
    </cfRule>
    <cfRule type="cellIs" dxfId="20" priority="22" operator="lessThan">
      <formula>$AY$33</formula>
    </cfRule>
  </conditionalFormatting>
  <conditionalFormatting sqref="K21:K22">
    <cfRule type="cellIs" dxfId="19" priority="19" operator="greaterThan">
      <formula>$BA$33</formula>
    </cfRule>
    <cfRule type="cellIs" dxfId="18" priority="20" operator="lessThan">
      <formula>$AY$33</formula>
    </cfRule>
  </conditionalFormatting>
  <conditionalFormatting sqref="K36:K41">
    <cfRule type="cellIs" dxfId="17" priority="17" operator="greaterThan">
      <formula>$BA$33</formula>
    </cfRule>
    <cfRule type="cellIs" dxfId="16" priority="18" operator="lessThan">
      <formula>$AY$33</formula>
    </cfRule>
  </conditionalFormatting>
  <conditionalFormatting sqref="K35">
    <cfRule type="cellIs" dxfId="15" priority="15" operator="greaterThan">
      <formula>$BA$33</formula>
    </cfRule>
    <cfRule type="cellIs" dxfId="14" priority="16" operator="lessThan">
      <formula>$AY$33</formula>
    </cfRule>
  </conditionalFormatting>
  <conditionalFormatting sqref="F36:F41">
    <cfRule type="cellIs" dxfId="13" priority="13" operator="greaterThan">
      <formula>$BA$33</formula>
    </cfRule>
    <cfRule type="cellIs" dxfId="12" priority="14" operator="lessThan">
      <formula>$AY$33</formula>
    </cfRule>
  </conditionalFormatting>
  <conditionalFormatting sqref="F34:F35">
    <cfRule type="cellIs" dxfId="11" priority="11" operator="greaterThan">
      <formula>$BA$33</formula>
    </cfRule>
    <cfRule type="cellIs" dxfId="10" priority="12" operator="lessThan">
      <formula>$AY$33</formula>
    </cfRule>
  </conditionalFormatting>
  <conditionalFormatting sqref="P36:P41">
    <cfRule type="cellIs" dxfId="9" priority="9" operator="greaterThan">
      <formula>$BA$33</formula>
    </cfRule>
    <cfRule type="cellIs" dxfId="8" priority="10" operator="lessThan">
      <formula>$AY$33</formula>
    </cfRule>
  </conditionalFormatting>
  <conditionalFormatting sqref="P34:P35">
    <cfRule type="cellIs" dxfId="7" priority="7" operator="greaterThan">
      <formula>$BA$33</formula>
    </cfRule>
    <cfRule type="cellIs" dxfId="6" priority="8" operator="lessThan">
      <formula>$AY$33</formula>
    </cfRule>
  </conditionalFormatting>
  <conditionalFormatting sqref="U36:U41">
    <cfRule type="cellIs" dxfId="5" priority="5" operator="greaterThan">
      <formula>$BA$33</formula>
    </cfRule>
    <cfRule type="cellIs" dxfId="4" priority="6" operator="lessThan">
      <formula>$AY$33</formula>
    </cfRule>
  </conditionalFormatting>
  <conditionalFormatting sqref="U34:U35">
    <cfRule type="cellIs" dxfId="3" priority="3" operator="greaterThan">
      <formula>$BA$33</formula>
    </cfRule>
    <cfRule type="cellIs" dxfId="2" priority="4" operator="lessThan">
      <formula>$AY$33</formula>
    </cfRule>
  </conditionalFormatting>
  <conditionalFormatting sqref="K34">
    <cfRule type="cellIs" dxfId="1" priority="1" operator="greaterThan">
      <formula>$BA$33</formula>
    </cfRule>
    <cfRule type="cellIs" dxfId="0" priority="2" operator="lessThan">
      <formula>$AY$33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&amp;C_x000D_&amp;1#&amp;"Aptos"&amp;10&amp;K0000FF Internal: Can be shared for internal communication (du)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869D-40A0-43ED-9DF2-1EA152F08DB1}">
  <dimension ref="C2:P49"/>
  <sheetViews>
    <sheetView topLeftCell="A31" workbookViewId="0">
      <selection activeCell="I21" sqref="I21"/>
    </sheetView>
  </sheetViews>
  <sheetFormatPr defaultRowHeight="14.4" x14ac:dyDescent="0.3"/>
  <cols>
    <col min="3" max="3" width="15.109375" bestFit="1" customWidth="1"/>
    <col min="4" max="5" width="12" bestFit="1" customWidth="1"/>
    <col min="6" max="6" width="13" bestFit="1" customWidth="1"/>
    <col min="7" max="7" width="12" bestFit="1" customWidth="1"/>
    <col min="8" max="8" width="12.88671875" bestFit="1" customWidth="1"/>
    <col min="9" max="9" width="12" bestFit="1" customWidth="1"/>
    <col min="10" max="10" width="20.5546875" customWidth="1"/>
    <col min="11" max="11" width="12" bestFit="1" customWidth="1"/>
    <col min="12" max="12" width="12.88671875" bestFit="1" customWidth="1"/>
    <col min="13" max="13" width="11.44140625" bestFit="1" customWidth="1"/>
    <col min="14" max="14" width="12.44140625" bestFit="1" customWidth="1"/>
    <col min="15" max="15" width="18.44140625" bestFit="1" customWidth="1"/>
    <col min="16" max="16" width="12.88671875" bestFit="1" customWidth="1"/>
  </cols>
  <sheetData>
    <row r="2" spans="3:16" x14ac:dyDescent="0.3">
      <c r="C2" s="171" t="s">
        <v>6</v>
      </c>
      <c r="D2" s="190" t="s">
        <v>56</v>
      </c>
      <c r="E2" s="191"/>
      <c r="F2" s="191"/>
      <c r="G2" s="191"/>
      <c r="H2" s="191"/>
      <c r="I2" s="191"/>
      <c r="J2" s="191"/>
      <c r="K2" s="192"/>
    </row>
    <row r="3" spans="3:16" x14ac:dyDescent="0.3">
      <c r="D3" s="92" t="s">
        <v>121</v>
      </c>
      <c r="E3" s="29" t="s">
        <v>122</v>
      </c>
      <c r="F3" s="29" t="s">
        <v>123</v>
      </c>
      <c r="G3" s="30" t="s">
        <v>124</v>
      </c>
      <c r="H3" s="30" t="s">
        <v>125</v>
      </c>
      <c r="I3" s="30" t="s">
        <v>126</v>
      </c>
      <c r="J3" s="30" t="s">
        <v>127</v>
      </c>
      <c r="K3" s="30" t="s">
        <v>128</v>
      </c>
      <c r="L3" s="172" t="s">
        <v>36</v>
      </c>
      <c r="O3" t="s">
        <v>129</v>
      </c>
    </row>
    <row r="4" spans="3:16" x14ac:dyDescent="0.3">
      <c r="C4" s="96" t="s">
        <v>62</v>
      </c>
      <c r="D4" s="99">
        <v>2700518.3</v>
      </c>
      <c r="E4" s="41">
        <v>3065595.4800000004</v>
      </c>
      <c r="F4" s="41">
        <v>820152.9600000002</v>
      </c>
      <c r="G4" s="99">
        <v>2363395.5000000005</v>
      </c>
      <c r="H4" s="99">
        <v>3263065.84</v>
      </c>
      <c r="I4" s="41">
        <v>1669362.2999999998</v>
      </c>
      <c r="J4" s="99">
        <v>2318321.2200000002</v>
      </c>
      <c r="K4" s="41">
        <v>2795658.7600000002</v>
      </c>
      <c r="L4" s="173">
        <f>SUM(D4:K4)</f>
        <v>18996070.359999999</v>
      </c>
      <c r="O4" t="s">
        <v>130</v>
      </c>
      <c r="P4" s="173">
        <f>L5+L7+L8</f>
        <v>2383729.8000000003</v>
      </c>
    </row>
    <row r="5" spans="3:16" x14ac:dyDescent="0.3">
      <c r="C5" s="105" t="s">
        <v>38</v>
      </c>
      <c r="D5" s="51">
        <v>-432186.2</v>
      </c>
      <c r="E5" s="52">
        <v>3088.4000000000233</v>
      </c>
      <c r="F5" s="106">
        <v>317345.68</v>
      </c>
      <c r="G5" s="51">
        <v>178952.52000000002</v>
      </c>
      <c r="H5" s="51">
        <v>331068.2</v>
      </c>
      <c r="I5" s="52">
        <v>71760.599999999977</v>
      </c>
      <c r="J5" s="51">
        <v>-150513.5</v>
      </c>
      <c r="K5" s="52">
        <v>-14607</v>
      </c>
      <c r="L5" s="173">
        <f>SUM(D5:K5)</f>
        <v>304908.7</v>
      </c>
      <c r="O5" t="s">
        <v>131</v>
      </c>
      <c r="P5" s="173">
        <f>L9+L10+L11</f>
        <v>14923885.74</v>
      </c>
    </row>
    <row r="6" spans="3:16" x14ac:dyDescent="0.3">
      <c r="C6" s="105" t="s">
        <v>41</v>
      </c>
      <c r="D6" s="51">
        <v>426726.3</v>
      </c>
      <c r="E6" s="52">
        <v>594057.30000000005</v>
      </c>
      <c r="F6" s="106">
        <v>-244989.87999999995</v>
      </c>
      <c r="G6" s="51">
        <v>246219.2</v>
      </c>
      <c r="H6" s="51">
        <v>251207.4</v>
      </c>
      <c r="I6" s="52">
        <v>95938</v>
      </c>
      <c r="J6" s="51">
        <v>290156.5</v>
      </c>
      <c r="K6" s="52">
        <v>29140</v>
      </c>
      <c r="L6" s="173">
        <f>SUM(D6:K6)</f>
        <v>1688454.82</v>
      </c>
      <c r="O6" t="s">
        <v>41</v>
      </c>
      <c r="P6" s="173">
        <f>L6</f>
        <v>1688454.82</v>
      </c>
    </row>
    <row r="7" spans="3:16" x14ac:dyDescent="0.3">
      <c r="C7" s="105" t="s">
        <v>43</v>
      </c>
      <c r="D7" s="51">
        <v>162469.4</v>
      </c>
      <c r="E7" s="52">
        <v>-5283</v>
      </c>
      <c r="F7" s="106">
        <v>264630</v>
      </c>
      <c r="G7" s="51">
        <v>174455.5</v>
      </c>
      <c r="H7" s="51">
        <v>238072.2</v>
      </c>
      <c r="I7" s="52">
        <v>263950</v>
      </c>
      <c r="J7" s="51">
        <v>301871.5</v>
      </c>
      <c r="K7" s="52">
        <v>616637.5</v>
      </c>
      <c r="L7" s="173">
        <f>SUM(D7:K7)</f>
        <v>2016803.1</v>
      </c>
    </row>
    <row r="8" spans="3:16" x14ac:dyDescent="0.3">
      <c r="C8" s="105" t="s">
        <v>45</v>
      </c>
      <c r="D8" s="51">
        <v>37394</v>
      </c>
      <c r="E8" s="52">
        <v>20746</v>
      </c>
      <c r="F8" s="106">
        <v>73815</v>
      </c>
      <c r="G8" s="51">
        <v>-89389</v>
      </c>
      <c r="H8" s="51">
        <v>320</v>
      </c>
      <c r="I8" s="52">
        <v>23622</v>
      </c>
      <c r="J8" s="51">
        <v>-12236</v>
      </c>
      <c r="K8" s="52">
        <v>7746</v>
      </c>
      <c r="L8" s="173">
        <f t="shared" ref="L8:L11" si="0">SUM(D8:K8)</f>
        <v>62018</v>
      </c>
    </row>
    <row r="9" spans="3:16" x14ac:dyDescent="0.3">
      <c r="C9" s="105" t="s">
        <v>47</v>
      </c>
      <c r="D9" s="51">
        <v>2360189.5999999996</v>
      </c>
      <c r="E9" s="52">
        <v>2057102.48</v>
      </c>
      <c r="F9" s="106">
        <v>40617.72000000003</v>
      </c>
      <c r="G9" s="51">
        <v>1616375.8000000003</v>
      </c>
      <c r="H9" s="51">
        <v>2431498.2000000002</v>
      </c>
      <c r="I9" s="52">
        <v>824964.6</v>
      </c>
      <c r="J9" s="51">
        <v>1824254.32</v>
      </c>
      <c r="K9" s="52">
        <v>1867036.36</v>
      </c>
      <c r="L9" s="173">
        <f t="shared" si="0"/>
        <v>13022039.08</v>
      </c>
    </row>
    <row r="10" spans="3:16" x14ac:dyDescent="0.3">
      <c r="C10" s="105" t="s">
        <v>49</v>
      </c>
      <c r="D10" s="51">
        <v>46504.599999999984</v>
      </c>
      <c r="E10" s="52">
        <v>38747.5</v>
      </c>
      <c r="F10" s="106">
        <v>376219.64</v>
      </c>
      <c r="G10" s="51">
        <v>90767.679999999993</v>
      </c>
      <c r="H10" s="51">
        <v>67951.320000000007</v>
      </c>
      <c r="I10" s="52">
        <v>282287.09999999998</v>
      </c>
      <c r="J10" s="51">
        <v>-101143.59999999998</v>
      </c>
      <c r="K10" s="52">
        <v>124327.90000000001</v>
      </c>
      <c r="L10" s="173">
        <f t="shared" si="0"/>
        <v>925662.14</v>
      </c>
    </row>
    <row r="11" spans="3:16" ht="15" thickBot="1" x14ac:dyDescent="0.35">
      <c r="C11" s="116" t="s">
        <v>39</v>
      </c>
      <c r="D11" s="63">
        <v>99420.6</v>
      </c>
      <c r="E11" s="64">
        <v>357136.80000000005</v>
      </c>
      <c r="F11" s="117">
        <v>-7485.2000000000116</v>
      </c>
      <c r="G11" s="63">
        <v>146013.79999999999</v>
      </c>
      <c r="H11" s="63">
        <v>-57051.479999999996</v>
      </c>
      <c r="I11" s="64">
        <v>106840</v>
      </c>
      <c r="J11" s="63">
        <v>165932</v>
      </c>
      <c r="K11" s="64">
        <v>165378</v>
      </c>
      <c r="L11" s="173">
        <f t="shared" si="0"/>
        <v>976184.52</v>
      </c>
    </row>
    <row r="12" spans="3:16" ht="15" thickTop="1" x14ac:dyDescent="0.3"/>
    <row r="14" spans="3:16" x14ac:dyDescent="0.3">
      <c r="C14" s="171" t="s">
        <v>6</v>
      </c>
      <c r="D14" s="193" t="s">
        <v>57</v>
      </c>
      <c r="E14" s="194"/>
      <c r="F14" s="194"/>
      <c r="G14" s="194"/>
    </row>
    <row r="15" spans="3:16" x14ac:dyDescent="0.3">
      <c r="D15" s="90" t="s">
        <v>132</v>
      </c>
      <c r="E15" s="90" t="s">
        <v>143</v>
      </c>
      <c r="F15" s="102" t="s">
        <v>134</v>
      </c>
      <c r="G15" s="102" t="s">
        <v>36</v>
      </c>
      <c r="I15" s="90"/>
      <c r="J15" s="90"/>
    </row>
    <row r="16" spans="3:16" x14ac:dyDescent="0.3">
      <c r="C16" s="96" t="s">
        <v>62</v>
      </c>
      <c r="D16" s="97">
        <v>4743000</v>
      </c>
      <c r="E16" s="97">
        <v>4592237</v>
      </c>
      <c r="F16" s="97">
        <v>5646874</v>
      </c>
      <c r="G16" s="173">
        <f t="shared" ref="G16:G23" si="1">SUM(D16:F16)</f>
        <v>14982111</v>
      </c>
      <c r="I16" s="173"/>
      <c r="J16" s="176"/>
      <c r="N16" t="s">
        <v>57</v>
      </c>
    </row>
    <row r="17" spans="3:16" x14ac:dyDescent="0.3">
      <c r="C17" s="105" t="s">
        <v>38</v>
      </c>
      <c r="D17" s="106">
        <v>318463</v>
      </c>
      <c r="E17" s="106">
        <v>298276</v>
      </c>
      <c r="F17" s="106">
        <v>299600</v>
      </c>
      <c r="G17" s="173">
        <f t="shared" si="1"/>
        <v>916339</v>
      </c>
      <c r="I17" s="173"/>
      <c r="J17" s="176"/>
      <c r="N17" t="s">
        <v>130</v>
      </c>
      <c r="O17" s="173">
        <f>G17+G19+G20</f>
        <v>2073671</v>
      </c>
    </row>
    <row r="18" spans="3:16" x14ac:dyDescent="0.3">
      <c r="C18" s="105" t="s">
        <v>41</v>
      </c>
      <c r="D18" s="106">
        <v>372951</v>
      </c>
      <c r="E18" s="106">
        <v>393769</v>
      </c>
      <c r="F18" s="106">
        <v>487904</v>
      </c>
      <c r="G18" s="173">
        <f t="shared" si="1"/>
        <v>1254624</v>
      </c>
      <c r="I18" s="173"/>
      <c r="J18" s="176"/>
      <c r="N18" t="s">
        <v>131</v>
      </c>
      <c r="O18" s="173">
        <f>G21+G22+G23</f>
        <v>11653816</v>
      </c>
    </row>
    <row r="19" spans="3:16" x14ac:dyDescent="0.3">
      <c r="C19" s="105" t="s">
        <v>43</v>
      </c>
      <c r="D19" s="106">
        <v>154684</v>
      </c>
      <c r="E19" s="106">
        <v>221757</v>
      </c>
      <c r="F19" s="106">
        <v>445000</v>
      </c>
      <c r="G19" s="173">
        <f t="shared" si="1"/>
        <v>821441</v>
      </c>
      <c r="I19" s="173"/>
      <c r="J19" s="176"/>
      <c r="N19" t="s">
        <v>41</v>
      </c>
      <c r="O19" s="173">
        <f>G18</f>
        <v>1254624</v>
      </c>
    </row>
    <row r="20" spans="3:16" x14ac:dyDescent="0.3">
      <c r="C20" s="105" t="s">
        <v>45</v>
      </c>
      <c r="D20" s="106">
        <v>175731</v>
      </c>
      <c r="E20" s="106">
        <v>100160</v>
      </c>
      <c r="F20" s="106">
        <v>60000</v>
      </c>
      <c r="G20" s="173">
        <f t="shared" si="1"/>
        <v>335891</v>
      </c>
      <c r="I20" s="173"/>
      <c r="J20" s="176"/>
    </row>
    <row r="21" spans="3:16" x14ac:dyDescent="0.3">
      <c r="C21" s="105" t="s">
        <v>47</v>
      </c>
      <c r="D21" s="106">
        <v>2868384</v>
      </c>
      <c r="E21" s="106">
        <v>2866110</v>
      </c>
      <c r="F21" s="106">
        <v>3604177</v>
      </c>
      <c r="G21" s="173">
        <f t="shared" si="1"/>
        <v>9338671</v>
      </c>
      <c r="I21" s="173"/>
      <c r="J21" s="176"/>
    </row>
    <row r="22" spans="3:16" x14ac:dyDescent="0.3">
      <c r="C22" s="105" t="s">
        <v>49</v>
      </c>
      <c r="D22" s="106">
        <v>583574</v>
      </c>
      <c r="E22" s="106">
        <v>407484</v>
      </c>
      <c r="F22" s="106">
        <v>426957</v>
      </c>
      <c r="G22" s="173">
        <f t="shared" si="1"/>
        <v>1418015</v>
      </c>
      <c r="I22" s="173"/>
      <c r="J22" s="176"/>
    </row>
    <row r="23" spans="3:16" ht="15" thickBot="1" x14ac:dyDescent="0.35">
      <c r="C23" s="116" t="s">
        <v>39</v>
      </c>
      <c r="D23" s="117">
        <v>269213</v>
      </c>
      <c r="E23" s="117">
        <v>304681</v>
      </c>
      <c r="F23" s="117">
        <v>323236</v>
      </c>
      <c r="G23" s="173">
        <f t="shared" si="1"/>
        <v>897130</v>
      </c>
      <c r="I23" s="173"/>
      <c r="J23" s="176"/>
    </row>
    <row r="24" spans="3:16" ht="15" thickTop="1" x14ac:dyDescent="0.3"/>
    <row r="27" spans="3:16" x14ac:dyDescent="0.3">
      <c r="C27" s="171" t="s">
        <v>135</v>
      </c>
      <c r="D27" s="190" t="s">
        <v>56</v>
      </c>
      <c r="E27" s="191"/>
      <c r="F27" s="191"/>
      <c r="G27" s="191"/>
      <c r="H27" s="191"/>
      <c r="I27" s="191"/>
      <c r="J27" s="191"/>
      <c r="K27" s="192"/>
    </row>
    <row r="28" spans="3:16" x14ac:dyDescent="0.3">
      <c r="D28" s="92" t="s">
        <v>121</v>
      </c>
      <c r="E28" s="29" t="s">
        <v>122</v>
      </c>
      <c r="F28" s="29" t="s">
        <v>123</v>
      </c>
      <c r="G28" s="30" t="s">
        <v>124</v>
      </c>
      <c r="H28" s="30" t="s">
        <v>125</v>
      </c>
      <c r="I28" s="30" t="s">
        <v>126</v>
      </c>
      <c r="J28" s="30" t="s">
        <v>127</v>
      </c>
      <c r="K28" s="30" t="s">
        <v>128</v>
      </c>
      <c r="L28" s="172" t="s">
        <v>36</v>
      </c>
      <c r="O28" t="s">
        <v>129</v>
      </c>
    </row>
    <row r="29" spans="3:16" x14ac:dyDescent="0.3">
      <c r="C29" s="96" t="s">
        <v>62</v>
      </c>
      <c r="D29" s="99">
        <v>19590</v>
      </c>
      <c r="E29" s="41">
        <v>11871.424999999999</v>
      </c>
      <c r="F29" s="41">
        <v>-2316.5</v>
      </c>
      <c r="G29" s="99">
        <v>12016</v>
      </c>
      <c r="H29" s="99">
        <v>5777</v>
      </c>
      <c r="I29" s="41">
        <v>19911</v>
      </c>
      <c r="J29" s="99">
        <v>16125</v>
      </c>
      <c r="K29" s="41">
        <v>9621</v>
      </c>
      <c r="L29" s="173">
        <f>SUM(D29:K29)</f>
        <v>92594.925000000003</v>
      </c>
      <c r="O29" t="s">
        <v>130</v>
      </c>
      <c r="P29" s="173">
        <f>L30+L32+L33</f>
        <v>8056.2000000000007</v>
      </c>
    </row>
    <row r="30" spans="3:16" x14ac:dyDescent="0.3">
      <c r="C30" s="105" t="s">
        <v>38</v>
      </c>
      <c r="D30" s="51">
        <v>1255</v>
      </c>
      <c r="E30" s="52">
        <v>-1517.25</v>
      </c>
      <c r="F30" s="52">
        <v>-4850.1499999999996</v>
      </c>
      <c r="G30" s="51">
        <v>315</v>
      </c>
      <c r="H30" s="51">
        <v>2852</v>
      </c>
      <c r="I30" s="52">
        <v>1354</v>
      </c>
      <c r="J30" s="51">
        <v>2848</v>
      </c>
      <c r="K30" s="52">
        <v>613</v>
      </c>
      <c r="L30" s="173">
        <f t="shared" ref="L30:L36" si="2">SUM(D30:K30)</f>
        <v>2869.6000000000004</v>
      </c>
      <c r="O30" t="s">
        <v>131</v>
      </c>
      <c r="P30" s="173">
        <f>L34+L35+L36</f>
        <v>82853.324999999997</v>
      </c>
    </row>
    <row r="31" spans="3:16" x14ac:dyDescent="0.3">
      <c r="C31" s="105" t="s">
        <v>41</v>
      </c>
      <c r="D31" s="51">
        <v>-243</v>
      </c>
      <c r="E31" s="52">
        <v>1059.0000000000002</v>
      </c>
      <c r="F31" s="52">
        <v>858.40000000000009</v>
      </c>
      <c r="G31" s="51">
        <v>214</v>
      </c>
      <c r="H31" s="51">
        <v>-358</v>
      </c>
      <c r="I31" s="52">
        <v>-400</v>
      </c>
      <c r="J31" s="51">
        <v>573</v>
      </c>
      <c r="K31" s="52">
        <v>-18</v>
      </c>
      <c r="L31" s="173">
        <f t="shared" si="2"/>
        <v>1685.4000000000003</v>
      </c>
      <c r="O31" t="s">
        <v>41</v>
      </c>
      <c r="P31" s="173">
        <f>L31</f>
        <v>1685.4000000000003</v>
      </c>
    </row>
    <row r="32" spans="3:16" x14ac:dyDescent="0.3">
      <c r="C32" s="105" t="s">
        <v>43</v>
      </c>
      <c r="D32" s="51">
        <v>86</v>
      </c>
      <c r="E32" s="52">
        <v>2905.3999999999996</v>
      </c>
      <c r="F32" s="52">
        <v>3031.9500000000007</v>
      </c>
      <c r="G32" s="51">
        <v>-291</v>
      </c>
      <c r="H32" s="51">
        <v>19</v>
      </c>
      <c r="I32" s="52">
        <v>-293</v>
      </c>
      <c r="J32" s="51">
        <v>-62</v>
      </c>
      <c r="K32" s="52">
        <v>9</v>
      </c>
      <c r="L32" s="173">
        <f t="shared" si="2"/>
        <v>5405.35</v>
      </c>
    </row>
    <row r="33" spans="3:12" x14ac:dyDescent="0.3">
      <c r="C33" s="105" t="s">
        <v>45</v>
      </c>
      <c r="D33" s="51">
        <v>297</v>
      </c>
      <c r="E33" s="52">
        <v>-388.29999999999995</v>
      </c>
      <c r="F33" s="52">
        <v>-9.4500000000000455</v>
      </c>
      <c r="G33" s="51">
        <v>-91</v>
      </c>
      <c r="H33" s="51">
        <v>-425</v>
      </c>
      <c r="I33" s="52">
        <v>744</v>
      </c>
      <c r="J33" s="51">
        <v>312</v>
      </c>
      <c r="K33" s="52">
        <v>-658</v>
      </c>
      <c r="L33" s="173">
        <f t="shared" si="2"/>
        <v>-218.75</v>
      </c>
    </row>
    <row r="34" spans="3:12" x14ac:dyDescent="0.3">
      <c r="C34" s="105" t="s">
        <v>47</v>
      </c>
      <c r="D34" s="51">
        <v>12508</v>
      </c>
      <c r="E34" s="52">
        <v>7535.5</v>
      </c>
      <c r="F34" s="52">
        <v>-39.049999999999955</v>
      </c>
      <c r="G34" s="51">
        <v>13232</v>
      </c>
      <c r="H34" s="51">
        <v>4819</v>
      </c>
      <c r="I34" s="52">
        <v>14678</v>
      </c>
      <c r="J34" s="51">
        <v>15787</v>
      </c>
      <c r="K34" s="52">
        <v>3944</v>
      </c>
      <c r="L34" s="173">
        <f t="shared" si="2"/>
        <v>72464.45</v>
      </c>
    </row>
    <row r="35" spans="3:12" x14ac:dyDescent="0.3">
      <c r="C35" s="105" t="s">
        <v>49</v>
      </c>
      <c r="D35" s="51">
        <v>2699</v>
      </c>
      <c r="E35" s="52">
        <v>1849.5249999999996</v>
      </c>
      <c r="F35" s="52">
        <v>-2347.1499999999996</v>
      </c>
      <c r="G35" s="51">
        <v>-240</v>
      </c>
      <c r="H35" s="51">
        <v>-879</v>
      </c>
      <c r="I35" s="52">
        <v>1992</v>
      </c>
      <c r="J35" s="51">
        <v>79</v>
      </c>
      <c r="K35" s="52">
        <v>5695</v>
      </c>
      <c r="L35" s="173">
        <f t="shared" si="2"/>
        <v>8848.375</v>
      </c>
    </row>
    <row r="36" spans="3:12" ht="15" thickBot="1" x14ac:dyDescent="0.35">
      <c r="C36" s="116" t="s">
        <v>39</v>
      </c>
      <c r="D36" s="63">
        <v>2988</v>
      </c>
      <c r="E36" s="64">
        <v>427.54999999999973</v>
      </c>
      <c r="F36" s="64">
        <v>1038.9500000000003</v>
      </c>
      <c r="G36" s="63">
        <v>-1123</v>
      </c>
      <c r="H36" s="63">
        <v>-251</v>
      </c>
      <c r="I36" s="64">
        <v>1836</v>
      </c>
      <c r="J36" s="63">
        <v>-3412</v>
      </c>
      <c r="K36" s="64">
        <v>36</v>
      </c>
      <c r="L36" s="173">
        <f t="shared" si="2"/>
        <v>1540.5</v>
      </c>
    </row>
    <row r="37" spans="3:12" ht="15" thickTop="1" x14ac:dyDescent="0.3"/>
    <row r="39" spans="3:12" x14ac:dyDescent="0.3">
      <c r="C39" s="171" t="s">
        <v>135</v>
      </c>
      <c r="D39" s="193" t="s">
        <v>57</v>
      </c>
      <c r="E39" s="194"/>
      <c r="F39" s="194"/>
      <c r="G39" s="194"/>
    </row>
    <row r="40" spans="3:12" x14ac:dyDescent="0.3">
      <c r="D40" s="90" t="s">
        <v>132</v>
      </c>
      <c r="E40" s="90" t="s">
        <v>124</v>
      </c>
      <c r="F40" s="102" t="s">
        <v>133</v>
      </c>
      <c r="G40" s="102" t="s">
        <v>134</v>
      </c>
      <c r="H40" s="102" t="s">
        <v>36</v>
      </c>
    </row>
    <row r="41" spans="3:12" x14ac:dyDescent="0.3">
      <c r="C41" s="96" t="s">
        <v>62</v>
      </c>
      <c r="D41" s="97"/>
      <c r="E41" s="97">
        <v>2960</v>
      </c>
      <c r="F41" s="97">
        <v>9856.1272173766192</v>
      </c>
      <c r="G41" s="97">
        <v>17119.98373125718</v>
      </c>
    </row>
    <row r="42" spans="3:12" ht="15" thickBot="1" x14ac:dyDescent="0.35">
      <c r="C42" s="105" t="s">
        <v>38</v>
      </c>
      <c r="D42" s="106"/>
      <c r="E42" s="106"/>
      <c r="F42" s="106"/>
      <c r="G42" s="174" t="s">
        <v>136</v>
      </c>
    </row>
    <row r="43" spans="3:12" ht="15" thickBot="1" x14ac:dyDescent="0.35">
      <c r="C43" s="105" t="s">
        <v>41</v>
      </c>
      <c r="D43" s="106"/>
      <c r="E43" s="106"/>
      <c r="F43" s="106"/>
      <c r="G43" s="174" t="s">
        <v>137</v>
      </c>
    </row>
    <row r="44" spans="3:12" ht="15" thickBot="1" x14ac:dyDescent="0.35">
      <c r="C44" s="105" t="s">
        <v>43</v>
      </c>
      <c r="D44" s="106"/>
      <c r="E44" s="106"/>
      <c r="F44" s="106"/>
      <c r="G44" s="174" t="s">
        <v>138</v>
      </c>
    </row>
    <row r="45" spans="3:12" ht="15" thickBot="1" x14ac:dyDescent="0.35">
      <c r="C45" s="105" t="s">
        <v>45</v>
      </c>
      <c r="D45" s="106"/>
      <c r="E45" s="106"/>
      <c r="F45" s="106"/>
      <c r="G45" s="174" t="s">
        <v>139</v>
      </c>
    </row>
    <row r="46" spans="3:12" ht="15" thickBot="1" x14ac:dyDescent="0.35">
      <c r="C46" s="105" t="s">
        <v>47</v>
      </c>
      <c r="D46" s="106"/>
      <c r="E46" s="106"/>
      <c r="F46" s="106"/>
      <c r="G46" s="174" t="s">
        <v>140</v>
      </c>
    </row>
    <row r="47" spans="3:12" ht="15" thickBot="1" x14ac:dyDescent="0.35">
      <c r="C47" s="105" t="s">
        <v>49</v>
      </c>
      <c r="D47" s="106"/>
      <c r="E47" s="106"/>
      <c r="F47" s="106"/>
      <c r="G47" s="174" t="s">
        <v>141</v>
      </c>
    </row>
    <row r="48" spans="3:12" ht="15" thickBot="1" x14ac:dyDescent="0.35">
      <c r="C48" s="116" t="s">
        <v>39</v>
      </c>
      <c r="D48" s="117"/>
      <c r="E48" s="117"/>
      <c r="F48" s="117"/>
      <c r="G48" s="175" t="s">
        <v>142</v>
      </c>
    </row>
    <row r="49" ht="15" thickTop="1" x14ac:dyDescent="0.3"/>
  </sheetData>
  <mergeCells count="4">
    <mergeCell ref="D2:K2"/>
    <mergeCell ref="D14:G14"/>
    <mergeCell ref="D27:K27"/>
    <mergeCell ref="D39:G39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GLK</vt:lpstr>
      <vt:lpstr>Sheet1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Rasool</dc:creator>
  <cp:lastModifiedBy>Tehleel Lone</cp:lastModifiedBy>
  <dcterms:created xsi:type="dcterms:W3CDTF">2026-08-24T06:45:12Z</dcterms:created>
  <dcterms:modified xsi:type="dcterms:W3CDTF">2026-08-25T13:24:25Z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2026-08-24T06:45:14Z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2179ec74-4914-4b57-8493-9bec0d65bc13</vt:lpwstr>
  </property>
  <property fmtid="{D5CDD505-2E9C-101B-9397-08002B2CF9AE}" pid="8" name="MSIP_Label_70631fc3-9a0c-431f-9a31-72e4a001a3af_ContentBits">
    <vt:lpwstr>2</vt:lpwstr>
  </property>
  <property fmtid="{D5CDD505-2E9C-101B-9397-08002B2CF9AE}" pid="9" name="MSIP_Label_70631fc3-9a0c-431f-9a31-72e4a001a3af_Tag">
    <vt:lpwstr>10, 3, 0, 1</vt:lpwstr>
  </property>
</Properties>
</file>